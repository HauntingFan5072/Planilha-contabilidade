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drawings/drawing11.xml" ContentType="application/vnd.openxmlformats-officedocument.drawing+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C:\Users\Usuario\Downloads\"/>
    </mc:Choice>
  </mc:AlternateContent>
  <xr:revisionPtr revIDLastSave="2837" documentId="13_ncr:1_{C13B9EC8-6C39-4CA4-A20A-CB53C777B2DA}" xr6:coauthVersionLast="47" xr6:coauthVersionMax="47" xr10:uidLastSave="{313C9ECA-CB76-4020-8D0C-1CFCA4C4C8B4}"/>
  <bookViews>
    <workbookView xWindow="-120" yWindow="-120" windowWidth="20730" windowHeight="11040" tabRatio="500" activeTab="5" xr2:uid="{00000000-000D-0000-FFFF-FFFF00000000}"/>
  </bookViews>
  <sheets>
    <sheet name="Scenarios" sheetId="2" r:id="rId1"/>
    <sheet name="Income Statement" sheetId="4" r:id="rId2"/>
    <sheet name="BS" sheetId="7" r:id="rId3"/>
    <sheet name="Comps" sheetId="14" r:id="rId4"/>
    <sheet name="CFS - Historical" sheetId="9" r:id="rId5"/>
    <sheet name="CFS - Estimates" sheetId="8" r:id="rId6"/>
    <sheet name="Build Up" sheetId="3" r:id="rId7"/>
    <sheet name="DCF" sheetId="11" r:id="rId8"/>
    <sheet name="Discount Factor" sheetId="10" r:id="rId9"/>
    <sheet name="Debt Schedule" sheetId="5" r:id="rId10"/>
    <sheet name="Debt Compostion" sheetId="6" r:id="rId11"/>
    <sheet name="CapEx &amp; D&amp;A " sheetId="23" r:id="rId12"/>
    <sheet name="Multiplos base" sheetId="13" r:id="rId13"/>
    <sheet name="Income Statement Details" sheetId="15" state="hidden" r:id="rId14"/>
    <sheet name="Build Up (2)" sheetId="16" state="hidden" r:id="rId15"/>
    <sheet name="Q - Income Statement" sheetId="17" state="hidden" r:id="rId16"/>
    <sheet name="Q - Build Up" sheetId="18" state="hidden" r:id="rId17"/>
    <sheet name="Q - BS" sheetId="19" state="hidden" r:id="rId18"/>
    <sheet name="Q - CFS Historical" sheetId="20" state="hidden" r:id="rId19"/>
    <sheet name="Q - CFS Indirect" sheetId="21" state="hidden" r:id="rId20"/>
    <sheet name="Macro" sheetId="1" r:id="rId21"/>
  </sheets>
  <definedNames>
    <definedName name="_xlnm.Print_Area" localSheetId="20">Macro!$A$1:$I$10</definedName>
  </definedNames>
  <calcPr calcId="191028" iterate="1" iterateDelta="1E-4"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A15" i="4" l="1"/>
  <c r="AA14" i="4"/>
  <c r="AA13" i="4"/>
  <c r="D10" i="2"/>
  <c r="M8" i="2"/>
  <c r="Z12" i="4"/>
  <c r="Y9" i="3"/>
  <c r="Z9" i="3"/>
  <c r="Z22" i="2"/>
  <c r="AA22" i="2"/>
  <c r="AB22" i="2"/>
  <c r="AC22" i="2"/>
  <c r="AD22" i="2"/>
  <c r="AE22" i="2"/>
  <c r="AF22" i="2"/>
  <c r="AG22" i="2"/>
  <c r="AH22" i="2"/>
  <c r="AI22" i="2"/>
  <c r="AJ22" i="2"/>
  <c r="AK22" i="2"/>
  <c r="Y23" i="2"/>
  <c r="Z23" i="2"/>
  <c r="AA23" i="2"/>
  <c r="AB23" i="2"/>
  <c r="AC23" i="2"/>
  <c r="AD23" i="2"/>
  <c r="AE23" i="2"/>
  <c r="AF23" i="2"/>
  <c r="AG23" i="2"/>
  <c r="AH23" i="2"/>
  <c r="AI23" i="2"/>
  <c r="AJ23" i="2"/>
  <c r="AK23" i="2"/>
  <c r="Y24" i="2"/>
  <c r="Z24" i="2"/>
  <c r="AA24" i="2"/>
  <c r="AB24" i="2"/>
  <c r="AC24" i="2"/>
  <c r="AD24" i="2"/>
  <c r="AE24" i="2"/>
  <c r="AF24" i="2"/>
  <c r="AG24" i="2"/>
  <c r="AH24" i="2"/>
  <c r="AI24" i="2"/>
  <c r="AJ24" i="2"/>
  <c r="AK24" i="2"/>
  <c r="Y25" i="2"/>
  <c r="Z25" i="2"/>
  <c r="AA25" i="2"/>
  <c r="AB25" i="2"/>
  <c r="AC25" i="2"/>
  <c r="AD25" i="2"/>
  <c r="AE25" i="2"/>
  <c r="AF25" i="2"/>
  <c r="AG25" i="2"/>
  <c r="AH25" i="2"/>
  <c r="AI25" i="2"/>
  <c r="AJ25" i="2"/>
  <c r="AK25" i="2"/>
  <c r="Y26" i="2"/>
  <c r="Z26" i="2"/>
  <c r="AA26" i="2"/>
  <c r="AB26" i="2"/>
  <c r="AC26" i="2"/>
  <c r="AD26" i="2"/>
  <c r="AE26" i="2"/>
  <c r="AF26" i="2"/>
  <c r="AG26" i="2"/>
  <c r="AH26" i="2"/>
  <c r="AI26" i="2"/>
  <c r="AJ26" i="2"/>
  <c r="AK26" i="2"/>
  <c r="Y27" i="2"/>
  <c r="Z27" i="2"/>
  <c r="AA27" i="2"/>
  <c r="AB27" i="2"/>
  <c r="AC27" i="2"/>
  <c r="AD27" i="2"/>
  <c r="AE27" i="2"/>
  <c r="AF27" i="2"/>
  <c r="AG27" i="2"/>
  <c r="AH27" i="2"/>
  <c r="AI27" i="2"/>
  <c r="AJ27" i="2"/>
  <c r="AK27" i="2"/>
  <c r="Y28" i="2"/>
  <c r="Z28" i="2"/>
  <c r="AA28" i="2"/>
  <c r="AB28" i="2"/>
  <c r="AC28" i="2"/>
  <c r="AD28" i="2"/>
  <c r="AE28" i="2"/>
  <c r="AF28" i="2"/>
  <c r="AG28" i="2"/>
  <c r="AH28" i="2"/>
  <c r="AI28" i="2"/>
  <c r="AJ28" i="2"/>
  <c r="AK28" i="2"/>
  <c r="Y22" i="2"/>
  <c r="C63" i="2"/>
  <c r="G62" i="2"/>
  <c r="H62" i="2" s="1"/>
  <c r="I62" i="2" s="1"/>
  <c r="G59" i="2"/>
  <c r="AA14" i="23" s="1"/>
  <c r="D59" i="2"/>
  <c r="G58" i="2"/>
  <c r="D58" i="2"/>
  <c r="H56" i="2"/>
  <c r="G56" i="2"/>
  <c r="E56" i="2"/>
  <c r="D56" i="2"/>
  <c r="C55" i="2"/>
  <c r="G54" i="2"/>
  <c r="H54" i="2" s="1"/>
  <c r="I54" i="2" s="1"/>
  <c r="C47" i="2"/>
  <c r="G46" i="2"/>
  <c r="H46" i="2" s="1"/>
  <c r="I46" i="2" s="1"/>
  <c r="C39" i="2"/>
  <c r="G38" i="2"/>
  <c r="H38" i="2" s="1"/>
  <c r="I38" i="2" s="1"/>
  <c r="C31" i="2"/>
  <c r="G30" i="2"/>
  <c r="H30" i="2" s="1"/>
  <c r="I30" i="2" s="1"/>
  <c r="AM28" i="2"/>
  <c r="AL28" i="2"/>
  <c r="AM27" i="2"/>
  <c r="AL27" i="2"/>
  <c r="AM26" i="2"/>
  <c r="AL26" i="2"/>
  <c r="AM25" i="2"/>
  <c r="AL25" i="2"/>
  <c r="AM24" i="2"/>
  <c r="AL24" i="2"/>
  <c r="AM23" i="2"/>
  <c r="AL23" i="2"/>
  <c r="C23" i="2"/>
  <c r="AM22" i="2"/>
  <c r="AL22" i="2"/>
  <c r="G22" i="2"/>
  <c r="H22" i="2" s="1"/>
  <c r="I22" i="2" s="1"/>
  <c r="C15" i="2"/>
  <c r="G14" i="2"/>
  <c r="H14" i="2" s="1"/>
  <c r="I14" i="2" s="1"/>
  <c r="P12" i="2"/>
  <c r="P11" i="2"/>
  <c r="P10" i="2"/>
  <c r="F64" i="2" s="1"/>
  <c r="M9" i="2"/>
  <c r="C7" i="2"/>
  <c r="M6" i="2"/>
  <c r="G6" i="2"/>
  <c r="H6" i="2" s="1"/>
  <c r="I6" i="2" s="1"/>
  <c r="B3" i="2"/>
  <c r="P18" i="11"/>
  <c r="Z32" i="8"/>
  <c r="V33" i="8"/>
  <c r="W32" i="8"/>
  <c r="V32" i="8"/>
  <c r="AD22" i="4"/>
  <c r="AD23" i="4"/>
  <c r="Z22" i="8"/>
  <c r="AG37" i="7"/>
  <c r="V20" i="8"/>
  <c r="X22" i="8"/>
  <c r="Y22" i="8"/>
  <c r="AA22" i="8"/>
  <c r="AB22" i="8"/>
  <c r="AC22" i="8"/>
  <c r="AD22" i="8"/>
  <c r="AE22" i="8"/>
  <c r="W22" i="8"/>
  <c r="X21" i="8"/>
  <c r="Y21" i="8"/>
  <c r="Z21" i="8"/>
  <c r="AA21" i="8"/>
  <c r="AB21" i="8"/>
  <c r="AC21" i="8"/>
  <c r="AD21" i="8"/>
  <c r="AE21" i="8"/>
  <c r="W21" i="8"/>
  <c r="V7" i="8"/>
  <c r="X12" i="8"/>
  <c r="Y12" i="8"/>
  <c r="Z12" i="8"/>
  <c r="AA12" i="8"/>
  <c r="AB12" i="8"/>
  <c r="AC12" i="8"/>
  <c r="AD12" i="8"/>
  <c r="AE12" i="8"/>
  <c r="W12" i="8"/>
  <c r="AB20" i="4"/>
  <c r="AC20" i="4"/>
  <c r="AD20" i="4"/>
  <c r="AE20" i="4"/>
  <c r="AF20" i="4"/>
  <c r="AG20" i="4"/>
  <c r="AH20" i="4"/>
  <c r="AI20" i="4"/>
  <c r="AA20" i="4"/>
  <c r="W62" i="7"/>
  <c r="W68" i="7"/>
  <c r="W65" i="7"/>
  <c r="E48" i="7"/>
  <c r="F48" i="7"/>
  <c r="G48" i="7"/>
  <c r="H48" i="7"/>
  <c r="I48" i="7"/>
  <c r="J48" i="7"/>
  <c r="K48" i="7"/>
  <c r="L48" i="7"/>
  <c r="M48" i="7"/>
  <c r="N48" i="7"/>
  <c r="O48" i="7"/>
  <c r="P48" i="7"/>
  <c r="Q48" i="7"/>
  <c r="R48" i="7"/>
  <c r="S48" i="7"/>
  <c r="T48" i="7"/>
  <c r="U48" i="7"/>
  <c r="V48" i="7"/>
  <c r="W48" i="7"/>
  <c r="X48" i="7"/>
  <c r="Y48" i="7"/>
  <c r="Z48" i="7"/>
  <c r="AA48" i="7"/>
  <c r="AB48" i="7"/>
  <c r="AC48" i="7"/>
  <c r="AD48" i="7"/>
  <c r="AE48" i="7"/>
  <c r="D48" i="7"/>
  <c r="AD54" i="7"/>
  <c r="AD51" i="7"/>
  <c r="W54" i="7"/>
  <c r="AB51" i="7"/>
  <c r="AC51" i="7"/>
  <c r="AE51" i="7"/>
  <c r="AA51" i="7"/>
  <c r="X51" i="7"/>
  <c r="Y51" i="7"/>
  <c r="W51" i="7"/>
  <c r="Y18" i="3"/>
  <c r="Z17" i="3"/>
  <c r="AC22" i="4"/>
  <c r="AB22" i="4"/>
  <c r="AA22" i="4"/>
  <c r="AF22" i="4"/>
  <c r="AE22" i="4"/>
  <c r="Y36" i="7"/>
  <c r="Z36" i="7"/>
  <c r="AA36" i="7"/>
  <c r="AB36" i="7"/>
  <c r="AC36" i="7"/>
  <c r="AD36" i="7"/>
  <c r="AE36" i="7"/>
  <c r="X36" i="7"/>
  <c r="W36" i="7"/>
  <c r="X33" i="7"/>
  <c r="Y33" i="7"/>
  <c r="Z33" i="7"/>
  <c r="AA33" i="7"/>
  <c r="AB33" i="7"/>
  <c r="AC33" i="7"/>
  <c r="AD33" i="7"/>
  <c r="AE33" i="7"/>
  <c r="W33" i="7"/>
  <c r="X32" i="7"/>
  <c r="Y32" i="7"/>
  <c r="Z32" i="7"/>
  <c r="AA32" i="7"/>
  <c r="AB32" i="7"/>
  <c r="AC32" i="7"/>
  <c r="AD32" i="7"/>
  <c r="AE32" i="7"/>
  <c r="W32" i="7"/>
  <c r="X31" i="7"/>
  <c r="Y31" i="7"/>
  <c r="Z31" i="7"/>
  <c r="AA31" i="7"/>
  <c r="AB31" i="7"/>
  <c r="AC31" i="7"/>
  <c r="AD31" i="7"/>
  <c r="AE31" i="7"/>
  <c r="W31" i="7"/>
  <c r="X30" i="7"/>
  <c r="Y30" i="7"/>
  <c r="Z30" i="7"/>
  <c r="AA30" i="7"/>
  <c r="AB30" i="7"/>
  <c r="AC30" i="7"/>
  <c r="AD30" i="7"/>
  <c r="AE30" i="7"/>
  <c r="W30" i="7"/>
  <c r="X29" i="7"/>
  <c r="Y29" i="7"/>
  <c r="Z29" i="7"/>
  <c r="AA29" i="7"/>
  <c r="AB29" i="7"/>
  <c r="AC29" i="7"/>
  <c r="AD29" i="7"/>
  <c r="AE29" i="7"/>
  <c r="W29" i="7"/>
  <c r="X19" i="7"/>
  <c r="Y19" i="7"/>
  <c r="Z19" i="7"/>
  <c r="AA19" i="7"/>
  <c r="AB19" i="7"/>
  <c r="AC19" i="7"/>
  <c r="AD19" i="7"/>
  <c r="AE19" i="7"/>
  <c r="W19" i="7"/>
  <c r="X18" i="7"/>
  <c r="Y18" i="7"/>
  <c r="Z18" i="7"/>
  <c r="AA18" i="7"/>
  <c r="AB18" i="7"/>
  <c r="AC18" i="7"/>
  <c r="AD18" i="7"/>
  <c r="AE18" i="7"/>
  <c r="W18" i="7"/>
  <c r="W17" i="7"/>
  <c r="X17" i="7" s="1"/>
  <c r="Y17" i="7" s="1"/>
  <c r="Z17" i="7" s="1"/>
  <c r="AA17" i="7" s="1"/>
  <c r="AB17" i="7" s="1"/>
  <c r="AC17" i="7" s="1"/>
  <c r="AD17" i="7" s="1"/>
  <c r="AE17" i="7" s="1"/>
  <c r="D10" i="23"/>
  <c r="E10" i="23"/>
  <c r="F10" i="23"/>
  <c r="G10" i="23"/>
  <c r="H10" i="23"/>
  <c r="I10" i="23"/>
  <c r="J10" i="23"/>
  <c r="K10" i="23"/>
  <c r="L10" i="23"/>
  <c r="M10" i="23"/>
  <c r="N10" i="23"/>
  <c r="O10" i="23"/>
  <c r="P10" i="23"/>
  <c r="Q10" i="23"/>
  <c r="R10" i="23"/>
  <c r="S10" i="23"/>
  <c r="T10" i="23"/>
  <c r="U10" i="23"/>
  <c r="V10" i="23"/>
  <c r="D6" i="23"/>
  <c r="E6" i="23"/>
  <c r="F6" i="23"/>
  <c r="G6" i="23"/>
  <c r="H6" i="23"/>
  <c r="I6" i="23"/>
  <c r="J6" i="23"/>
  <c r="K6" i="23"/>
  <c r="L6" i="23"/>
  <c r="M6" i="23"/>
  <c r="N6" i="23"/>
  <c r="O6" i="23"/>
  <c r="P6" i="23"/>
  <c r="Q6" i="23"/>
  <c r="R6" i="23"/>
  <c r="S6" i="23"/>
  <c r="T6" i="23"/>
  <c r="U6" i="23"/>
  <c r="V6" i="23"/>
  <c r="D7" i="23"/>
  <c r="E7" i="23"/>
  <c r="F7" i="23"/>
  <c r="G7" i="23"/>
  <c r="H7" i="23"/>
  <c r="I7" i="23"/>
  <c r="J7" i="23"/>
  <c r="K7" i="23"/>
  <c r="L7" i="23"/>
  <c r="M7" i="23"/>
  <c r="N7" i="23"/>
  <c r="O7" i="23"/>
  <c r="P7" i="23"/>
  <c r="Q7" i="23"/>
  <c r="R7" i="23"/>
  <c r="S7" i="23"/>
  <c r="T7" i="23"/>
  <c r="U7" i="23"/>
  <c r="V7" i="23"/>
  <c r="D8" i="23"/>
  <c r="E8" i="23"/>
  <c r="F8" i="23"/>
  <c r="G8" i="23"/>
  <c r="H8" i="23"/>
  <c r="I8" i="23"/>
  <c r="J8" i="23"/>
  <c r="K8" i="23"/>
  <c r="L8" i="23"/>
  <c r="M8" i="23"/>
  <c r="N8" i="23"/>
  <c r="O8" i="23"/>
  <c r="P8" i="23"/>
  <c r="Q8" i="23"/>
  <c r="R8" i="23"/>
  <c r="S8" i="23"/>
  <c r="T8" i="23"/>
  <c r="U8" i="23"/>
  <c r="V8" i="23"/>
  <c r="X15" i="7"/>
  <c r="Y15" i="7"/>
  <c r="Z15" i="7"/>
  <c r="AA15" i="7"/>
  <c r="AB15" i="7"/>
  <c r="AC15" i="7"/>
  <c r="AD15" i="7"/>
  <c r="AE15" i="7"/>
  <c r="W15" i="7"/>
  <c r="AE33" i="4"/>
  <c r="AB33" i="4"/>
  <c r="AC33" i="4" s="1"/>
  <c r="AD33" i="4" s="1"/>
  <c r="AA23" i="4"/>
  <c r="AC23" i="4"/>
  <c r="AF23" i="4" s="1"/>
  <c r="AB23" i="4"/>
  <c r="AE23" i="4" s="1"/>
  <c r="AH23" i="4" s="1"/>
  <c r="AG23" i="4"/>
  <c r="AH22" i="4"/>
  <c r="AI22" i="4"/>
  <c r="AG22" i="4"/>
  <c r="AF41" i="3"/>
  <c r="AG41" i="3"/>
  <c r="AH41" i="3"/>
  <c r="AI41" i="3"/>
  <c r="AE41" i="3"/>
  <c r="AB41" i="3"/>
  <c r="AC41" i="3"/>
  <c r="AA41" i="3"/>
  <c r="AF29" i="3"/>
  <c r="AG29" i="3" s="1"/>
  <c r="AH29" i="3" s="1"/>
  <c r="AI29" i="3" s="1"/>
  <c r="Z22" i="3"/>
  <c r="U22" i="3"/>
  <c r="X10" i="5"/>
  <c r="Y10" i="5"/>
  <c r="Z10" i="5"/>
  <c r="AA10" i="5"/>
  <c r="AB10" i="5"/>
  <c r="AC10" i="5"/>
  <c r="AD10" i="5"/>
  <c r="AE10" i="5"/>
  <c r="W10" i="5"/>
  <c r="AB24" i="5"/>
  <c r="AC24" i="5"/>
  <c r="AD24" i="5"/>
  <c r="AE24" i="5"/>
  <c r="AA24" i="5"/>
  <c r="Z24" i="5"/>
  <c r="Y24" i="5"/>
  <c r="X24" i="5"/>
  <c r="W24" i="5"/>
  <c r="Y23" i="5"/>
  <c r="Z23" i="5"/>
  <c r="AA23" i="5"/>
  <c r="AB23" i="5"/>
  <c r="AC23" i="5"/>
  <c r="AD23" i="5"/>
  <c r="AE23" i="5"/>
  <c r="X23" i="5"/>
  <c r="W23" i="5"/>
  <c r="Y19" i="5"/>
  <c r="X19" i="5"/>
  <c r="W19" i="5"/>
  <c r="AB15" i="5"/>
  <c r="AC15" i="5"/>
  <c r="AD15" i="5"/>
  <c r="AE15" i="5"/>
  <c r="W16" i="5"/>
  <c r="AA15" i="5"/>
  <c r="X15" i="5"/>
  <c r="Y15" i="5"/>
  <c r="W15" i="5"/>
  <c r="X16" i="5"/>
  <c r="Y16" i="5"/>
  <c r="AB19" i="5"/>
  <c r="AC19" i="5"/>
  <c r="AD19" i="5"/>
  <c r="AE19" i="5"/>
  <c r="AA19" i="5"/>
  <c r="AE7" i="5"/>
  <c r="AA7" i="5"/>
  <c r="AB7" i="5"/>
  <c r="AC7" i="5"/>
  <c r="AD7" i="5"/>
  <c r="Z7" i="5"/>
  <c r="AB16" i="5"/>
  <c r="AC16" i="5" s="1"/>
  <c r="AD16" i="5" s="1"/>
  <c r="AE16" i="5" s="1"/>
  <c r="AA16" i="5"/>
  <c r="AB13" i="5"/>
  <c r="AC13" i="5" s="1"/>
  <c r="AD13" i="5" s="1"/>
  <c r="AE13" i="5" s="1"/>
  <c r="W12" i="5"/>
  <c r="X12" i="5" s="1"/>
  <c r="Y12" i="5" s="1"/>
  <c r="Z12" i="5" s="1"/>
  <c r="AA12" i="5" s="1"/>
  <c r="AB12" i="5" s="1"/>
  <c r="AC12" i="5" s="1"/>
  <c r="AD12" i="5" s="1"/>
  <c r="AE12" i="5" s="1"/>
  <c r="Q13" i="5"/>
  <c r="R13" i="5"/>
  <c r="S13" i="5"/>
  <c r="T13" i="5"/>
  <c r="M13" i="5"/>
  <c r="N13" i="5"/>
  <c r="O13" i="5"/>
  <c r="L13" i="5"/>
  <c r="G6" i="11"/>
  <c r="H52" i="14"/>
  <c r="I52" i="14"/>
  <c r="K52" i="14"/>
  <c r="L52" i="14"/>
  <c r="M52" i="14"/>
  <c r="O52" i="14"/>
  <c r="P52" i="14"/>
  <c r="Q52" i="14"/>
  <c r="G52" i="14"/>
  <c r="H9" i="14"/>
  <c r="G9" i="14"/>
  <c r="H15" i="14"/>
  <c r="G15" i="14"/>
  <c r="F15" i="14"/>
  <c r="H14" i="14"/>
  <c r="G14" i="14"/>
  <c r="F14" i="14"/>
  <c r="H13" i="14"/>
  <c r="G13" i="14"/>
  <c r="F13" i="14"/>
  <c r="H12" i="14"/>
  <c r="G12" i="14"/>
  <c r="F12" i="14"/>
  <c r="H11" i="14"/>
  <c r="G11" i="14"/>
  <c r="F11" i="14"/>
  <c r="H10" i="14"/>
  <c r="G10" i="14"/>
  <c r="F10" i="14"/>
  <c r="F9" i="14"/>
  <c r="L15" i="14"/>
  <c r="L14" i="14"/>
  <c r="L13" i="14"/>
  <c r="L12" i="14"/>
  <c r="K15" i="14"/>
  <c r="K14" i="14"/>
  <c r="K13" i="14"/>
  <c r="K12" i="14"/>
  <c r="K11" i="14"/>
  <c r="J10" i="14"/>
  <c r="L11" i="14"/>
  <c r="L10" i="14"/>
  <c r="K10" i="14"/>
  <c r="J11" i="14"/>
  <c r="J12" i="14"/>
  <c r="J13" i="14"/>
  <c r="J14" i="14"/>
  <c r="J15" i="14"/>
  <c r="K9" i="14"/>
  <c r="L9" i="14"/>
  <c r="J9" i="14"/>
  <c r="O15" i="14"/>
  <c r="P15" i="14"/>
  <c r="O14" i="14"/>
  <c r="P14" i="14"/>
  <c r="O13" i="14"/>
  <c r="P13" i="14"/>
  <c r="O12" i="14"/>
  <c r="P12" i="14"/>
  <c r="O11" i="14"/>
  <c r="P11" i="14"/>
  <c r="O10" i="14"/>
  <c r="P10" i="14"/>
  <c r="N10" i="14"/>
  <c r="N11" i="14"/>
  <c r="N12" i="14"/>
  <c r="N13" i="14"/>
  <c r="N14" i="14"/>
  <c r="N15" i="14"/>
  <c r="O9" i="14"/>
  <c r="P9" i="14"/>
  <c r="N9" i="14"/>
  <c r="O18" i="11"/>
  <c r="G33" i="11"/>
  <c r="J31" i="11"/>
  <c r="G5" i="11" a="1"/>
  <c r="G5" i="11" s="1"/>
  <c r="G4" i="11" a="1"/>
  <c r="G4" i="11" s="1"/>
  <c r="E2" i="11"/>
  <c r="L20" i="11"/>
  <c r="M20" i="11"/>
  <c r="N20" i="11"/>
  <c r="O20" i="11"/>
  <c r="K20" i="11"/>
  <c r="J20" i="11"/>
  <c r="K18" i="11"/>
  <c r="L18" i="11"/>
  <c r="M18" i="11"/>
  <c r="N18" i="11"/>
  <c r="J18" i="11"/>
  <c r="K31" i="11"/>
  <c r="O31" i="11"/>
  <c r="N31" i="11"/>
  <c r="M31" i="11"/>
  <c r="L31" i="11"/>
  <c r="K28" i="11"/>
  <c r="L28" i="11"/>
  <c r="M28" i="11"/>
  <c r="N28" i="11"/>
  <c r="O28" i="11"/>
  <c r="J28" i="11"/>
  <c r="J14" i="11"/>
  <c r="I9" i="10"/>
  <c r="C25" i="21"/>
  <c r="R22" i="21"/>
  <c r="P22" i="21"/>
  <c r="O22" i="21"/>
  <c r="N22" i="21"/>
  <c r="M22" i="21"/>
  <c r="K22" i="21"/>
  <c r="J22" i="21"/>
  <c r="I22" i="21"/>
  <c r="H22" i="21"/>
  <c r="F22" i="21"/>
  <c r="E22" i="21"/>
  <c r="D22" i="21"/>
  <c r="C22" i="21"/>
  <c r="R20" i="21"/>
  <c r="P20" i="21"/>
  <c r="O20" i="21"/>
  <c r="N20" i="21"/>
  <c r="M20" i="21"/>
  <c r="K20" i="21"/>
  <c r="J20" i="21"/>
  <c r="I20" i="21"/>
  <c r="H20" i="21"/>
  <c r="F20" i="21"/>
  <c r="E20" i="21"/>
  <c r="D20" i="21"/>
  <c r="C20" i="21"/>
  <c r="R19" i="21"/>
  <c r="P19" i="21"/>
  <c r="O19" i="21"/>
  <c r="N19" i="21"/>
  <c r="M19" i="21"/>
  <c r="K19" i="21"/>
  <c r="J19" i="21"/>
  <c r="I19" i="21"/>
  <c r="H19" i="21"/>
  <c r="F19" i="21"/>
  <c r="E19" i="21"/>
  <c r="D19" i="21"/>
  <c r="C19" i="21"/>
  <c r="R18" i="21"/>
  <c r="P18" i="21"/>
  <c r="O18" i="21"/>
  <c r="N18" i="21"/>
  <c r="M18" i="21"/>
  <c r="K18" i="21"/>
  <c r="J18" i="21"/>
  <c r="I18" i="21"/>
  <c r="H18" i="21"/>
  <c r="F18" i="21"/>
  <c r="E18" i="21"/>
  <c r="D18" i="21"/>
  <c r="C18" i="21"/>
  <c r="O17" i="21"/>
  <c r="N17" i="21"/>
  <c r="J17" i="21"/>
  <c r="I17" i="21"/>
  <c r="E17" i="21"/>
  <c r="D17" i="21"/>
  <c r="C17" i="21"/>
  <c r="O16" i="21"/>
  <c r="N16" i="21"/>
  <c r="N15" i="21" s="1"/>
  <c r="J16" i="21"/>
  <c r="I16" i="21"/>
  <c r="E16" i="21"/>
  <c r="D16" i="21"/>
  <c r="D15" i="21" s="1"/>
  <c r="C16" i="21"/>
  <c r="C15" i="21" s="1"/>
  <c r="I15" i="21"/>
  <c r="O13" i="21"/>
  <c r="N13" i="21"/>
  <c r="J13" i="21"/>
  <c r="I13" i="21"/>
  <c r="E13" i="21"/>
  <c r="D13" i="21"/>
  <c r="C13" i="21"/>
  <c r="O12" i="21"/>
  <c r="N12" i="21"/>
  <c r="J12" i="21"/>
  <c r="J11" i="21" s="1"/>
  <c r="I12" i="21"/>
  <c r="E12" i="21"/>
  <c r="D12" i="21"/>
  <c r="D11" i="21" s="1"/>
  <c r="C12" i="21"/>
  <c r="C11" i="21" s="1"/>
  <c r="I11" i="21"/>
  <c r="R9" i="21"/>
  <c r="P9" i="21"/>
  <c r="O9" i="21"/>
  <c r="N9" i="21"/>
  <c r="M9" i="21"/>
  <c r="K9" i="21"/>
  <c r="J9" i="21"/>
  <c r="I9" i="21"/>
  <c r="H9" i="21"/>
  <c r="F9" i="21"/>
  <c r="E9" i="21"/>
  <c r="D9" i="21"/>
  <c r="C9" i="21"/>
  <c r="R7" i="21"/>
  <c r="P7" i="21"/>
  <c r="O7" i="21"/>
  <c r="N7" i="21"/>
  <c r="M7" i="21"/>
  <c r="K7" i="21"/>
  <c r="J7" i="21"/>
  <c r="I7" i="21"/>
  <c r="H7" i="21"/>
  <c r="F7" i="21"/>
  <c r="E7" i="21"/>
  <c r="D7" i="21"/>
  <c r="C7" i="21"/>
  <c r="Q45" i="20"/>
  <c r="L45" i="20"/>
  <c r="G45" i="20"/>
  <c r="G44" i="20"/>
  <c r="Q41" i="20"/>
  <c r="L41" i="20"/>
  <c r="G41" i="20"/>
  <c r="R40" i="20"/>
  <c r="P40" i="20"/>
  <c r="O40" i="20"/>
  <c r="N40" i="20"/>
  <c r="M40" i="20"/>
  <c r="K40" i="20"/>
  <c r="J40" i="20"/>
  <c r="I40" i="20"/>
  <c r="H40" i="20"/>
  <c r="F40" i="20"/>
  <c r="E40" i="20"/>
  <c r="D40" i="20"/>
  <c r="C40" i="20"/>
  <c r="G40" i="20" s="1"/>
  <c r="Q39" i="20"/>
  <c r="L39" i="20"/>
  <c r="G39" i="20"/>
  <c r="Q38" i="20"/>
  <c r="L38" i="20"/>
  <c r="G38" i="20"/>
  <c r="Q37" i="20"/>
  <c r="L37" i="20"/>
  <c r="G37" i="20"/>
  <c r="Q36" i="20"/>
  <c r="L36" i="20"/>
  <c r="G36" i="20"/>
  <c r="Q35" i="20"/>
  <c r="L35" i="20"/>
  <c r="G35" i="20"/>
  <c r="Q34" i="20"/>
  <c r="L34" i="20"/>
  <c r="G34" i="20"/>
  <c r="R31" i="20"/>
  <c r="P31" i="20"/>
  <c r="O31" i="20"/>
  <c r="N31" i="20"/>
  <c r="M31" i="20"/>
  <c r="Q31" i="20" s="1"/>
  <c r="K31" i="20"/>
  <c r="J31" i="20"/>
  <c r="I31" i="20"/>
  <c r="H31" i="20"/>
  <c r="L31" i="20" s="1"/>
  <c r="F31" i="20"/>
  <c r="E31" i="20"/>
  <c r="D31" i="20"/>
  <c r="C31" i="20"/>
  <c r="G31" i="20" s="1"/>
  <c r="Q30" i="20"/>
  <c r="L30" i="20"/>
  <c r="G30" i="20"/>
  <c r="Q29" i="20"/>
  <c r="L29" i="20"/>
  <c r="G29" i="20"/>
  <c r="Q28" i="20"/>
  <c r="L28" i="20"/>
  <c r="G28" i="20"/>
  <c r="Q27" i="20"/>
  <c r="L27" i="20"/>
  <c r="G27" i="20"/>
  <c r="Q26" i="20"/>
  <c r="L26" i="20"/>
  <c r="G26" i="20"/>
  <c r="Q25" i="20"/>
  <c r="L25" i="20"/>
  <c r="G25" i="20"/>
  <c r="Q24" i="20"/>
  <c r="L24" i="20"/>
  <c r="G24" i="20"/>
  <c r="Q20" i="20"/>
  <c r="L20" i="20"/>
  <c r="G20" i="20"/>
  <c r="Q19" i="20"/>
  <c r="L19" i="20"/>
  <c r="G19" i="20"/>
  <c r="Q18" i="20"/>
  <c r="L18" i="20"/>
  <c r="G18" i="20"/>
  <c r="Q17" i="20"/>
  <c r="L17" i="20"/>
  <c r="G17" i="20"/>
  <c r="Q16" i="20"/>
  <c r="L16" i="20"/>
  <c r="G16" i="20"/>
  <c r="Q15" i="20"/>
  <c r="L15" i="20"/>
  <c r="G15" i="20"/>
  <c r="Q14" i="20"/>
  <c r="L14" i="20"/>
  <c r="G14" i="20"/>
  <c r="R13" i="20"/>
  <c r="P13" i="20"/>
  <c r="O13" i="20"/>
  <c r="N13" i="20"/>
  <c r="M13" i="20"/>
  <c r="Q13" i="20" s="1"/>
  <c r="K13" i="20"/>
  <c r="J13" i="20"/>
  <c r="I13" i="20"/>
  <c r="H13" i="20"/>
  <c r="L13" i="20" s="1"/>
  <c r="F13" i="20"/>
  <c r="E13" i="20"/>
  <c r="D13" i="20"/>
  <c r="C13" i="20"/>
  <c r="Q12" i="20"/>
  <c r="L12" i="20"/>
  <c r="G12" i="20"/>
  <c r="Q11" i="20"/>
  <c r="L11" i="20"/>
  <c r="G11" i="20"/>
  <c r="Q10" i="20"/>
  <c r="L10" i="20"/>
  <c r="G10" i="20"/>
  <c r="Q9" i="20"/>
  <c r="L9" i="20"/>
  <c r="G9" i="20"/>
  <c r="Q8" i="20"/>
  <c r="L8" i="20"/>
  <c r="G8" i="20"/>
  <c r="R7" i="20"/>
  <c r="R21" i="20" s="1"/>
  <c r="R43" i="20" s="1"/>
  <c r="P7" i="20"/>
  <c r="P21" i="20" s="1"/>
  <c r="P43" i="20" s="1"/>
  <c r="O7" i="20"/>
  <c r="O21" i="20" s="1"/>
  <c r="O43" i="20" s="1"/>
  <c r="N7" i="20"/>
  <c r="N21" i="20" s="1"/>
  <c r="N43" i="20" s="1"/>
  <c r="M7" i="20"/>
  <c r="M21" i="20" s="1"/>
  <c r="K7" i="20"/>
  <c r="K21" i="20" s="1"/>
  <c r="K43" i="20" s="1"/>
  <c r="J7" i="20"/>
  <c r="I7" i="20"/>
  <c r="I21" i="20" s="1"/>
  <c r="I43" i="20" s="1"/>
  <c r="H7" i="20"/>
  <c r="H21" i="20" s="1"/>
  <c r="F7" i="20"/>
  <c r="F21" i="20" s="1"/>
  <c r="F43" i="20" s="1"/>
  <c r="E7" i="20"/>
  <c r="E21" i="20" s="1"/>
  <c r="E43" i="20" s="1"/>
  <c r="D7" i="20"/>
  <c r="D21" i="20" s="1"/>
  <c r="D43" i="20" s="1"/>
  <c r="C7" i="20"/>
  <c r="C21" i="20" s="1"/>
  <c r="Q6" i="20"/>
  <c r="L6" i="20"/>
  <c r="G6" i="20"/>
  <c r="O40" i="19"/>
  <c r="M40" i="19"/>
  <c r="L40" i="19"/>
  <c r="K40" i="19"/>
  <c r="I40" i="19"/>
  <c r="H40" i="19"/>
  <c r="G40" i="19"/>
  <c r="E40" i="19"/>
  <c r="D40" i="19"/>
  <c r="C40" i="19"/>
  <c r="N36" i="19"/>
  <c r="J36" i="19"/>
  <c r="F36" i="19"/>
  <c r="N35" i="19"/>
  <c r="R16" i="21" s="1"/>
  <c r="J35" i="19"/>
  <c r="F35" i="19"/>
  <c r="H16" i="21" s="1"/>
  <c r="O34" i="19"/>
  <c r="M34" i="19"/>
  <c r="L34" i="19"/>
  <c r="K34" i="19"/>
  <c r="J34" i="19"/>
  <c r="I34" i="19"/>
  <c r="H34" i="19"/>
  <c r="G34" i="19"/>
  <c r="E34" i="19"/>
  <c r="D34" i="19"/>
  <c r="C34" i="19"/>
  <c r="N32" i="19"/>
  <c r="J32" i="19"/>
  <c r="F32" i="19"/>
  <c r="N31" i="19"/>
  <c r="J31" i="19"/>
  <c r="F31" i="19"/>
  <c r="N30" i="19"/>
  <c r="J30" i="19"/>
  <c r="F30" i="19"/>
  <c r="N29" i="19"/>
  <c r="J29" i="19"/>
  <c r="M17" i="21" s="1"/>
  <c r="F29" i="19"/>
  <c r="F28" i="19" s="1"/>
  <c r="O28" i="19"/>
  <c r="M28" i="19"/>
  <c r="L28" i="19"/>
  <c r="K28" i="19"/>
  <c r="I28" i="19"/>
  <c r="H28" i="19"/>
  <c r="G28" i="19"/>
  <c r="E28" i="19"/>
  <c r="D28" i="19"/>
  <c r="C28" i="19"/>
  <c r="N26" i="19"/>
  <c r="J26" i="19"/>
  <c r="F26" i="19"/>
  <c r="N25" i="19"/>
  <c r="J25" i="19"/>
  <c r="F25" i="19"/>
  <c r="N24" i="19"/>
  <c r="J24" i="19"/>
  <c r="F24" i="19"/>
  <c r="N23" i="19"/>
  <c r="J23" i="19"/>
  <c r="J22" i="19" s="1"/>
  <c r="F23" i="19"/>
  <c r="O22" i="19"/>
  <c r="M22" i="19"/>
  <c r="M20" i="19" s="1"/>
  <c r="M38" i="19" s="1"/>
  <c r="L22" i="19"/>
  <c r="L20" i="19" s="1"/>
  <c r="L38" i="19" s="1"/>
  <c r="K22" i="19"/>
  <c r="I22" i="19"/>
  <c r="H22" i="19"/>
  <c r="G22" i="19"/>
  <c r="F22" i="19"/>
  <c r="E22" i="19"/>
  <c r="E20" i="19" s="1"/>
  <c r="E38" i="19" s="1"/>
  <c r="D22" i="19"/>
  <c r="D20" i="19" s="1"/>
  <c r="D38" i="19" s="1"/>
  <c r="C22" i="19"/>
  <c r="O20" i="19"/>
  <c r="O38" i="19" s="1"/>
  <c r="I20" i="19"/>
  <c r="I38" i="19" s="1"/>
  <c r="H20" i="19"/>
  <c r="H38" i="19" s="1"/>
  <c r="G20" i="19"/>
  <c r="G38" i="19" s="1"/>
  <c r="N18" i="19"/>
  <c r="J18" i="19"/>
  <c r="F18" i="19"/>
  <c r="N17" i="19"/>
  <c r="J17" i="19"/>
  <c r="F17" i="19"/>
  <c r="N16" i="19"/>
  <c r="J16" i="19"/>
  <c r="F16" i="19"/>
  <c r="N15" i="19"/>
  <c r="P13" i="21" s="1"/>
  <c r="J15" i="19"/>
  <c r="M13" i="21" s="1"/>
  <c r="F15" i="19"/>
  <c r="N14" i="19"/>
  <c r="R12" i="21" s="1"/>
  <c r="J14" i="19"/>
  <c r="F14" i="19"/>
  <c r="H12" i="21" s="1"/>
  <c r="O13" i="19"/>
  <c r="M13" i="19"/>
  <c r="L13" i="19"/>
  <c r="K13" i="19"/>
  <c r="I13" i="19"/>
  <c r="H13" i="19"/>
  <c r="G13" i="19"/>
  <c r="F13" i="19"/>
  <c r="E13" i="19"/>
  <c r="D13" i="19"/>
  <c r="C13" i="19"/>
  <c r="N11" i="19"/>
  <c r="J11" i="19"/>
  <c r="F11" i="19"/>
  <c r="N10" i="19"/>
  <c r="N40" i="19" s="1"/>
  <c r="J10" i="19"/>
  <c r="F10" i="19"/>
  <c r="F40" i="19" s="1"/>
  <c r="N9" i="19"/>
  <c r="N8" i="19" s="1"/>
  <c r="J9" i="19"/>
  <c r="J8" i="19" s="1"/>
  <c r="F9" i="19"/>
  <c r="F8" i="19" s="1"/>
  <c r="F6" i="19" s="1"/>
  <c r="O8" i="19"/>
  <c r="M8" i="19"/>
  <c r="M6" i="19" s="1"/>
  <c r="M4" i="19" s="1"/>
  <c r="L8" i="19"/>
  <c r="L6" i="19" s="1"/>
  <c r="L4" i="19" s="1"/>
  <c r="K8" i="19"/>
  <c r="K6" i="19" s="1"/>
  <c r="I8" i="19"/>
  <c r="H8" i="19"/>
  <c r="G8" i="19"/>
  <c r="E8" i="19"/>
  <c r="E6" i="19" s="1"/>
  <c r="E4" i="19" s="1"/>
  <c r="D8" i="19"/>
  <c r="D6" i="19" s="1"/>
  <c r="D4" i="19" s="1"/>
  <c r="C8" i="19"/>
  <c r="C6" i="19" s="1"/>
  <c r="I6" i="19"/>
  <c r="I4" i="19" s="1"/>
  <c r="H6" i="19"/>
  <c r="H4" i="19" s="1"/>
  <c r="W26" i="18"/>
  <c r="T26" i="18"/>
  <c r="S26" i="18"/>
  <c r="R26" i="18"/>
  <c r="O26" i="18"/>
  <c r="N26" i="18"/>
  <c r="M26" i="18"/>
  <c r="J26" i="18"/>
  <c r="I26" i="18"/>
  <c r="H26" i="18"/>
  <c r="E26" i="18"/>
  <c r="D26" i="18"/>
  <c r="C26" i="18"/>
  <c r="W22" i="18"/>
  <c r="T22" i="18"/>
  <c r="S22" i="18"/>
  <c r="R22" i="18"/>
  <c r="O22" i="18"/>
  <c r="N22" i="18"/>
  <c r="M22" i="18"/>
  <c r="J22" i="18"/>
  <c r="I22" i="18"/>
  <c r="H22" i="18"/>
  <c r="E22" i="18"/>
  <c r="D22" i="18"/>
  <c r="C22" i="18"/>
  <c r="V21" i="18"/>
  <c r="U21" i="18"/>
  <c r="Q21" i="18"/>
  <c r="P21" i="18"/>
  <c r="L21" i="18"/>
  <c r="K21" i="18" s="1"/>
  <c r="G21" i="18"/>
  <c r="F21" i="18"/>
  <c r="V20" i="18"/>
  <c r="U20" i="18"/>
  <c r="Q20" i="18"/>
  <c r="P20" i="18"/>
  <c r="L20" i="18"/>
  <c r="K20" i="18" s="1"/>
  <c r="G20" i="18"/>
  <c r="F20" i="18"/>
  <c r="W19" i="18"/>
  <c r="T19" i="18"/>
  <c r="S19" i="18"/>
  <c r="R19" i="18"/>
  <c r="O19" i="18"/>
  <c r="N19" i="18"/>
  <c r="M19" i="18"/>
  <c r="J19" i="18"/>
  <c r="I19" i="18"/>
  <c r="H19" i="18"/>
  <c r="E19" i="18"/>
  <c r="D19" i="18"/>
  <c r="C19" i="18"/>
  <c r="V18" i="18"/>
  <c r="U18" i="18" s="1"/>
  <c r="Q18" i="18"/>
  <c r="P18" i="18"/>
  <c r="L18" i="18"/>
  <c r="K18" i="18" s="1"/>
  <c r="G18" i="18"/>
  <c r="F18" i="18"/>
  <c r="V16" i="18"/>
  <c r="V22" i="18" s="1"/>
  <c r="U16" i="18"/>
  <c r="U22" i="18" s="1"/>
  <c r="Q16" i="18"/>
  <c r="L16" i="18"/>
  <c r="L22" i="18" s="1"/>
  <c r="G16" i="18"/>
  <c r="G22" i="18" s="1"/>
  <c r="F16" i="18"/>
  <c r="V12" i="18"/>
  <c r="U12" i="18"/>
  <c r="Q12" i="18"/>
  <c r="P12" i="18" s="1"/>
  <c r="L12" i="18"/>
  <c r="K12" i="18"/>
  <c r="G12" i="18"/>
  <c r="F12" i="18" s="1"/>
  <c r="V11" i="18"/>
  <c r="U11" i="18"/>
  <c r="Q11" i="18"/>
  <c r="P11" i="18" s="1"/>
  <c r="L11" i="18"/>
  <c r="K11" i="18"/>
  <c r="G11" i="18"/>
  <c r="F11" i="18" s="1"/>
  <c r="V10" i="18"/>
  <c r="V19" i="18" s="1"/>
  <c r="U10" i="18"/>
  <c r="U19" i="18" s="1"/>
  <c r="Q10" i="18"/>
  <c r="P10" i="18" s="1"/>
  <c r="P19" i="18" s="1"/>
  <c r="L10" i="18"/>
  <c r="L19" i="18" s="1"/>
  <c r="K10" i="18"/>
  <c r="K19" i="18" s="1"/>
  <c r="G10" i="18"/>
  <c r="G19" i="18" s="1"/>
  <c r="W9" i="18"/>
  <c r="T9" i="18"/>
  <c r="S9" i="18"/>
  <c r="R9" i="18"/>
  <c r="O9" i="18"/>
  <c r="N9" i="18"/>
  <c r="N13" i="18" s="1"/>
  <c r="N23" i="18" s="1"/>
  <c r="M9" i="18"/>
  <c r="J9" i="18"/>
  <c r="I9" i="18"/>
  <c r="I13" i="18" s="1"/>
  <c r="I23" i="18" s="1"/>
  <c r="H9" i="18"/>
  <c r="E9" i="18"/>
  <c r="D9" i="18"/>
  <c r="C9" i="18"/>
  <c r="V8" i="18"/>
  <c r="U8" i="18" s="1"/>
  <c r="Q8" i="18"/>
  <c r="P8" i="18" s="1"/>
  <c r="L8" i="18"/>
  <c r="K8" i="18"/>
  <c r="G8" i="18"/>
  <c r="F8" i="18"/>
  <c r="V7" i="18"/>
  <c r="U7" i="18" s="1"/>
  <c r="Q7" i="18"/>
  <c r="P7" i="18" s="1"/>
  <c r="L7" i="18"/>
  <c r="K7" i="18"/>
  <c r="G7" i="18"/>
  <c r="F7" i="18"/>
  <c r="V6" i="18"/>
  <c r="U6" i="18" s="1"/>
  <c r="Q6" i="18"/>
  <c r="P6" i="18" s="1"/>
  <c r="L6" i="18"/>
  <c r="K6" i="18"/>
  <c r="G6" i="18"/>
  <c r="F6" i="18"/>
  <c r="V5" i="18"/>
  <c r="Q5" i="18"/>
  <c r="L5" i="18"/>
  <c r="L9" i="18" s="1"/>
  <c r="K5" i="18"/>
  <c r="K9" i="18" s="1"/>
  <c r="G5" i="18"/>
  <c r="G9" i="18" s="1"/>
  <c r="F5" i="18"/>
  <c r="F9" i="18" s="1"/>
  <c r="V18" i="17"/>
  <c r="U18" i="17"/>
  <c r="Q18" i="17"/>
  <c r="P18" i="17" s="1"/>
  <c r="L18" i="17"/>
  <c r="K18" i="17"/>
  <c r="G18" i="17"/>
  <c r="F18" i="17" s="1"/>
  <c r="V15" i="17"/>
  <c r="U15" i="17"/>
  <c r="Q15" i="17"/>
  <c r="P15" i="17"/>
  <c r="L15" i="17"/>
  <c r="K15" i="17" s="1"/>
  <c r="G15" i="17"/>
  <c r="F15" i="17" s="1"/>
  <c r="V12" i="17"/>
  <c r="U12" i="17" s="1"/>
  <c r="Q12" i="17"/>
  <c r="P12" i="17"/>
  <c r="L12" i="17"/>
  <c r="K12" i="17" s="1"/>
  <c r="G12" i="17"/>
  <c r="F12" i="17"/>
  <c r="V11" i="17"/>
  <c r="U11" i="17" s="1"/>
  <c r="Q11" i="17"/>
  <c r="P11" i="17"/>
  <c r="L11" i="17"/>
  <c r="K11" i="17" s="1"/>
  <c r="G11" i="17"/>
  <c r="F11" i="17"/>
  <c r="V10" i="17"/>
  <c r="U10" i="17" s="1"/>
  <c r="U9" i="17" s="1"/>
  <c r="U27" i="18" s="1"/>
  <c r="Q10" i="17"/>
  <c r="P10" i="17"/>
  <c r="L10" i="17"/>
  <c r="G10" i="17"/>
  <c r="F10" i="17"/>
  <c r="W9" i="17"/>
  <c r="T9" i="17"/>
  <c r="T27" i="18" s="1"/>
  <c r="S9" i="17"/>
  <c r="R9" i="17"/>
  <c r="R27" i="18" s="1"/>
  <c r="Q9" i="17"/>
  <c r="Q27" i="18" s="1"/>
  <c r="P9" i="17"/>
  <c r="P27" i="18" s="1"/>
  <c r="O9" i="17"/>
  <c r="N9" i="17"/>
  <c r="N27" i="18" s="1"/>
  <c r="M9" i="17"/>
  <c r="M27" i="18" s="1"/>
  <c r="J9" i="17"/>
  <c r="J27" i="18" s="1"/>
  <c r="I9" i="17"/>
  <c r="I27" i="18" s="1"/>
  <c r="H9" i="17"/>
  <c r="H27" i="18" s="1"/>
  <c r="G9" i="17"/>
  <c r="G27" i="18" s="1"/>
  <c r="E9" i="17"/>
  <c r="E27" i="18" s="1"/>
  <c r="D9" i="17"/>
  <c r="D27" i="18" s="1"/>
  <c r="C9" i="17"/>
  <c r="C27" i="18" s="1"/>
  <c r="W8" i="17"/>
  <c r="T8" i="17"/>
  <c r="T14" i="17" s="1"/>
  <c r="T17" i="17" s="1"/>
  <c r="T20" i="17" s="1"/>
  <c r="S8" i="17"/>
  <c r="R8" i="17"/>
  <c r="R14" i="17" s="1"/>
  <c r="R17" i="17" s="1"/>
  <c r="O8" i="17"/>
  <c r="N8" i="17"/>
  <c r="N14" i="17" s="1"/>
  <c r="N17" i="17" s="1"/>
  <c r="M8" i="17"/>
  <c r="M14" i="17" s="1"/>
  <c r="M17" i="17" s="1"/>
  <c r="J8" i="17"/>
  <c r="J14" i="17" s="1"/>
  <c r="J17" i="17" s="1"/>
  <c r="I8" i="17"/>
  <c r="I14" i="17" s="1"/>
  <c r="I17" i="17" s="1"/>
  <c r="H8" i="17"/>
  <c r="H14" i="17" s="1"/>
  <c r="H17" i="17" s="1"/>
  <c r="E8" i="17"/>
  <c r="E14" i="17" s="1"/>
  <c r="E17" i="17" s="1"/>
  <c r="D8" i="17"/>
  <c r="D14" i="17" s="1"/>
  <c r="D17" i="17" s="1"/>
  <c r="D19" i="17" s="1"/>
  <c r="C8" i="17"/>
  <c r="C14" i="17" s="1"/>
  <c r="C17" i="17" s="1"/>
  <c r="V7" i="17"/>
  <c r="V26" i="18" s="1"/>
  <c r="U7" i="17"/>
  <c r="U26" i="18" s="1"/>
  <c r="Q7" i="17"/>
  <c r="L7" i="17"/>
  <c r="L26" i="18" s="1"/>
  <c r="K7" i="17"/>
  <c r="K26" i="18" s="1"/>
  <c r="G7" i="17"/>
  <c r="V5" i="17"/>
  <c r="V8" i="17" s="1"/>
  <c r="U5" i="17"/>
  <c r="U8" i="17" s="1"/>
  <c r="Q5" i="17"/>
  <c r="L5" i="17"/>
  <c r="L8" i="17" s="1"/>
  <c r="K5" i="17"/>
  <c r="G5" i="17"/>
  <c r="L52" i="16"/>
  <c r="K52" i="16"/>
  <c r="J52" i="16"/>
  <c r="I52" i="16"/>
  <c r="H52" i="16"/>
  <c r="G52" i="16"/>
  <c r="L45" i="16"/>
  <c r="K45" i="16"/>
  <c r="J45" i="16"/>
  <c r="I45" i="16"/>
  <c r="H45" i="16"/>
  <c r="Q41" i="16"/>
  <c r="P41" i="16"/>
  <c r="O41" i="16"/>
  <c r="N41" i="16"/>
  <c r="M41" i="16"/>
  <c r="L41" i="16"/>
  <c r="K41" i="16"/>
  <c r="J41" i="16"/>
  <c r="I41" i="16"/>
  <c r="H41" i="16"/>
  <c r="G41" i="16"/>
  <c r="Q38" i="16"/>
  <c r="P38" i="16"/>
  <c r="O38" i="16"/>
  <c r="N38" i="16"/>
  <c r="M38" i="16"/>
  <c r="L34" i="16"/>
  <c r="K34" i="16"/>
  <c r="J34" i="16"/>
  <c r="I34" i="16"/>
  <c r="H34" i="16"/>
  <c r="G34" i="16"/>
  <c r="L28" i="16"/>
  <c r="K28" i="16"/>
  <c r="J28" i="16"/>
  <c r="I28" i="16"/>
  <c r="H28" i="16"/>
  <c r="Q25" i="16"/>
  <c r="P25" i="16"/>
  <c r="O25" i="16"/>
  <c r="N25" i="16"/>
  <c r="M25" i="16"/>
  <c r="L23" i="16"/>
  <c r="K23" i="16"/>
  <c r="J23" i="16"/>
  <c r="I23" i="16"/>
  <c r="H23" i="16"/>
  <c r="M22" i="16"/>
  <c r="L20" i="16"/>
  <c r="L38" i="16" s="1"/>
  <c r="K20" i="16"/>
  <c r="K38" i="16" s="1"/>
  <c r="J20" i="16"/>
  <c r="J38" i="16" s="1"/>
  <c r="I20" i="16"/>
  <c r="I38" i="16" s="1"/>
  <c r="H20" i="16"/>
  <c r="H38" i="16" s="1"/>
  <c r="G20" i="16"/>
  <c r="G38" i="16" s="1"/>
  <c r="Q18" i="16"/>
  <c r="P18" i="16"/>
  <c r="O18" i="16"/>
  <c r="N18" i="16"/>
  <c r="M18" i="16"/>
  <c r="M17" i="16" s="1"/>
  <c r="M20" i="16" s="1"/>
  <c r="L18" i="16"/>
  <c r="K18" i="16"/>
  <c r="J18" i="16"/>
  <c r="I18" i="16"/>
  <c r="H18" i="16"/>
  <c r="N15" i="16"/>
  <c r="O15" i="16" s="1"/>
  <c r="L15" i="16"/>
  <c r="K15" i="16"/>
  <c r="J15" i="16"/>
  <c r="I15" i="16"/>
  <c r="H15" i="16"/>
  <c r="M14" i="16"/>
  <c r="N14" i="16" s="1"/>
  <c r="Q12" i="16"/>
  <c r="P12" i="16"/>
  <c r="O12" i="16"/>
  <c r="N12" i="16"/>
  <c r="M12" i="16"/>
  <c r="L12" i="16"/>
  <c r="K12" i="16"/>
  <c r="J12" i="16"/>
  <c r="I12" i="16"/>
  <c r="H12" i="16"/>
  <c r="M11" i="16"/>
  <c r="Q9" i="16"/>
  <c r="P9" i="16"/>
  <c r="O9" i="16"/>
  <c r="N9" i="16"/>
  <c r="M9" i="16"/>
  <c r="M8" i="16" s="1"/>
  <c r="M6" i="16" s="1"/>
  <c r="L9" i="16"/>
  <c r="K9" i="16"/>
  <c r="J9" i="16"/>
  <c r="I9" i="16"/>
  <c r="H9" i="16"/>
  <c r="L6" i="16"/>
  <c r="L31" i="16" s="1"/>
  <c r="K6" i="16"/>
  <c r="K50" i="16" s="1"/>
  <c r="K53" i="16" s="1"/>
  <c r="J6" i="16"/>
  <c r="J50" i="16" s="1"/>
  <c r="J53" i="16" s="1"/>
  <c r="I6" i="16"/>
  <c r="I31" i="16" s="1"/>
  <c r="H6" i="16"/>
  <c r="H48" i="16" s="1"/>
  <c r="G6" i="16"/>
  <c r="I26" i="15"/>
  <c r="H26" i="15"/>
  <c r="G26" i="15"/>
  <c r="F26" i="15"/>
  <c r="E26" i="15"/>
  <c r="D26" i="15"/>
  <c r="I24" i="15"/>
  <c r="H24" i="15"/>
  <c r="G24" i="15"/>
  <c r="F24" i="15"/>
  <c r="E24" i="15"/>
  <c r="D24" i="15"/>
  <c r="I21" i="15"/>
  <c r="H21" i="15"/>
  <c r="G21" i="15"/>
  <c r="F21" i="15"/>
  <c r="E21" i="15"/>
  <c r="I19" i="15"/>
  <c r="H19" i="15"/>
  <c r="G19" i="15"/>
  <c r="F19" i="15"/>
  <c r="E19" i="15"/>
  <c r="O18" i="15"/>
  <c r="I17" i="15"/>
  <c r="H17" i="15"/>
  <c r="G17" i="15"/>
  <c r="F17" i="15"/>
  <c r="E17" i="15"/>
  <c r="O16" i="15"/>
  <c r="I15" i="15"/>
  <c r="H15" i="15"/>
  <c r="G15" i="15"/>
  <c r="F15" i="15"/>
  <c r="E15" i="15"/>
  <c r="O14" i="15"/>
  <c r="I13" i="15"/>
  <c r="H13" i="15"/>
  <c r="G13" i="15"/>
  <c r="F13" i="15"/>
  <c r="E13" i="15"/>
  <c r="O12" i="15"/>
  <c r="I11" i="15"/>
  <c r="H11" i="15"/>
  <c r="G11" i="15"/>
  <c r="F11" i="15"/>
  <c r="E11" i="15"/>
  <c r="O10" i="15"/>
  <c r="I9" i="15"/>
  <c r="H9" i="15"/>
  <c r="G9" i="15"/>
  <c r="F9" i="15"/>
  <c r="E9" i="15"/>
  <c r="R8" i="15"/>
  <c r="Q8" i="15"/>
  <c r="O8" i="15"/>
  <c r="I7" i="15"/>
  <c r="H7" i="15"/>
  <c r="G7" i="15"/>
  <c r="F7" i="15"/>
  <c r="E7" i="15"/>
  <c r="AA6" i="14" a="1"/>
  <c r="AC8" i="14" s="1"/>
  <c r="W6" i="14" a="1"/>
  <c r="S6" i="14" a="1"/>
  <c r="G47" i="9"/>
  <c r="V43" i="9"/>
  <c r="T43" i="9"/>
  <c r="S43" i="9"/>
  <c r="R43" i="9"/>
  <c r="Q43" i="9"/>
  <c r="O43" i="9"/>
  <c r="N43" i="9"/>
  <c r="M43" i="9"/>
  <c r="L43" i="9"/>
  <c r="J43" i="9"/>
  <c r="I43" i="9"/>
  <c r="H43" i="9"/>
  <c r="G43" i="9"/>
  <c r="U42" i="9"/>
  <c r="P42" i="9"/>
  <c r="K42" i="9"/>
  <c r="F42" i="9"/>
  <c r="E42" i="9"/>
  <c r="D42" i="9"/>
  <c r="V41" i="9"/>
  <c r="T41" i="9"/>
  <c r="S41" i="9"/>
  <c r="R41" i="9"/>
  <c r="Q41" i="9"/>
  <c r="O41" i="9"/>
  <c r="N41" i="9"/>
  <c r="M41" i="9"/>
  <c r="L41" i="9"/>
  <c r="J41" i="9"/>
  <c r="I41" i="9"/>
  <c r="H41" i="9"/>
  <c r="G41" i="9"/>
  <c r="V40" i="9"/>
  <c r="T40" i="9"/>
  <c r="S40" i="9"/>
  <c r="R40" i="9"/>
  <c r="Q40" i="9"/>
  <c r="O40" i="9"/>
  <c r="N40" i="9"/>
  <c r="M40" i="9"/>
  <c r="L40" i="9"/>
  <c r="J40" i="9"/>
  <c r="I40" i="9"/>
  <c r="H40" i="9"/>
  <c r="G40" i="9"/>
  <c r="V39" i="9"/>
  <c r="T39" i="9"/>
  <c r="S39" i="9"/>
  <c r="R39" i="9"/>
  <c r="Q39" i="9"/>
  <c r="O39" i="9"/>
  <c r="N39" i="9"/>
  <c r="M39" i="9"/>
  <c r="L39" i="9"/>
  <c r="J39" i="9"/>
  <c r="I39" i="9"/>
  <c r="H39" i="9"/>
  <c r="G39" i="9"/>
  <c r="V38" i="9"/>
  <c r="T38" i="9"/>
  <c r="S38" i="9"/>
  <c r="R38" i="9"/>
  <c r="Q38" i="9"/>
  <c r="O38" i="9"/>
  <c r="N38" i="9"/>
  <c r="M38" i="9"/>
  <c r="L38" i="9"/>
  <c r="J38" i="9"/>
  <c r="I38" i="9"/>
  <c r="H38" i="9"/>
  <c r="G38" i="9"/>
  <c r="V37" i="9"/>
  <c r="T37" i="9"/>
  <c r="S37" i="9"/>
  <c r="R37" i="9"/>
  <c r="Q37" i="9"/>
  <c r="O37" i="9"/>
  <c r="N37" i="9"/>
  <c r="M37" i="9"/>
  <c r="L37" i="9"/>
  <c r="J37" i="9"/>
  <c r="I37" i="9"/>
  <c r="H37" i="9"/>
  <c r="G37" i="9"/>
  <c r="V36" i="9"/>
  <c r="V42" i="9" s="1"/>
  <c r="T36" i="9"/>
  <c r="S36" i="9"/>
  <c r="R36" i="9"/>
  <c r="R42" i="9" s="1"/>
  <c r="Q36" i="9"/>
  <c r="O36" i="9"/>
  <c r="O42" i="9" s="1"/>
  <c r="N36" i="9"/>
  <c r="M36" i="9"/>
  <c r="L36" i="9"/>
  <c r="L42" i="9" s="1"/>
  <c r="J36" i="9"/>
  <c r="I36" i="9"/>
  <c r="I42" i="9" s="1"/>
  <c r="H36" i="9"/>
  <c r="H42" i="9" s="1"/>
  <c r="G36" i="9"/>
  <c r="U33" i="9"/>
  <c r="P33" i="9"/>
  <c r="K33" i="9"/>
  <c r="F33" i="9"/>
  <c r="E33" i="9"/>
  <c r="D33" i="9"/>
  <c r="V32" i="9"/>
  <c r="T32" i="9"/>
  <c r="S32" i="9"/>
  <c r="R32" i="9"/>
  <c r="Q32" i="9"/>
  <c r="O32" i="9"/>
  <c r="N32" i="9"/>
  <c r="M32" i="9"/>
  <c r="L32" i="9"/>
  <c r="J32" i="9"/>
  <c r="I32" i="9"/>
  <c r="H32" i="9"/>
  <c r="G32" i="9"/>
  <c r="V31" i="9"/>
  <c r="T31" i="9"/>
  <c r="S31" i="9"/>
  <c r="R31" i="9"/>
  <c r="Q31" i="9"/>
  <c r="O31" i="9"/>
  <c r="N31" i="9"/>
  <c r="M31" i="9"/>
  <c r="L31" i="9"/>
  <c r="J31" i="9"/>
  <c r="I31" i="9"/>
  <c r="H31" i="9"/>
  <c r="G31" i="9"/>
  <c r="V30" i="9"/>
  <c r="T30" i="9"/>
  <c r="S30" i="9"/>
  <c r="R30" i="9"/>
  <c r="Q30" i="9"/>
  <c r="O30" i="9"/>
  <c r="N30" i="9"/>
  <c r="M30" i="9"/>
  <c r="L30" i="9"/>
  <c r="J30" i="9"/>
  <c r="I30" i="9"/>
  <c r="H30" i="9"/>
  <c r="G30" i="9"/>
  <c r="V29" i="9"/>
  <c r="T29" i="9"/>
  <c r="S29" i="9"/>
  <c r="R29" i="9"/>
  <c r="Q29" i="9"/>
  <c r="O29" i="9"/>
  <c r="N29" i="9"/>
  <c r="M29" i="9"/>
  <c r="L29" i="9"/>
  <c r="J29" i="9"/>
  <c r="I29" i="9"/>
  <c r="H29" i="9"/>
  <c r="G29" i="9"/>
  <c r="V28" i="9"/>
  <c r="T28" i="9"/>
  <c r="S28" i="9"/>
  <c r="R28" i="9"/>
  <c r="Q28" i="9"/>
  <c r="O28" i="9"/>
  <c r="N28" i="9"/>
  <c r="M28" i="9"/>
  <c r="L28" i="9"/>
  <c r="J28" i="9"/>
  <c r="I28" i="9"/>
  <c r="H28" i="9"/>
  <c r="G28" i="9"/>
  <c r="V27" i="9"/>
  <c r="T27" i="9"/>
  <c r="S27" i="9"/>
  <c r="R27" i="9"/>
  <c r="Q27" i="9"/>
  <c r="O27" i="9"/>
  <c r="N27" i="9"/>
  <c r="M27" i="9"/>
  <c r="L27" i="9"/>
  <c r="J27" i="9"/>
  <c r="I27" i="9"/>
  <c r="H27" i="9"/>
  <c r="G27" i="9"/>
  <c r="V26" i="9"/>
  <c r="T26" i="9"/>
  <c r="S26" i="9"/>
  <c r="R26" i="9"/>
  <c r="R33" i="9" s="1"/>
  <c r="Q26" i="9"/>
  <c r="Q33" i="9" s="1"/>
  <c r="O26" i="9"/>
  <c r="N26" i="9"/>
  <c r="N33" i="9" s="1"/>
  <c r="M26" i="9"/>
  <c r="L26" i="9"/>
  <c r="L33" i="9" s="1"/>
  <c r="J26" i="9"/>
  <c r="I26" i="9"/>
  <c r="H26" i="9"/>
  <c r="H33" i="9" s="1"/>
  <c r="G26" i="9"/>
  <c r="V22" i="9"/>
  <c r="T22" i="9"/>
  <c r="S22" i="9"/>
  <c r="R22" i="9"/>
  <c r="Q22" i="9"/>
  <c r="O22" i="9"/>
  <c r="N22" i="9"/>
  <c r="M22" i="9"/>
  <c r="L22" i="9"/>
  <c r="J22" i="9"/>
  <c r="I22" i="9"/>
  <c r="H22" i="9"/>
  <c r="G22" i="9"/>
  <c r="V21" i="9"/>
  <c r="T21" i="9"/>
  <c r="S21" i="9"/>
  <c r="R21" i="9"/>
  <c r="Q21" i="9"/>
  <c r="O21" i="9"/>
  <c r="N21" i="9"/>
  <c r="M21" i="9"/>
  <c r="L21" i="9"/>
  <c r="J21" i="9"/>
  <c r="I21" i="9"/>
  <c r="H21" i="9"/>
  <c r="G21" i="9"/>
  <c r="V20" i="9"/>
  <c r="T20" i="9"/>
  <c r="S20" i="9"/>
  <c r="R20" i="9"/>
  <c r="Q20" i="9"/>
  <c r="O20" i="9"/>
  <c r="N20" i="9"/>
  <c r="M20" i="9"/>
  <c r="L20" i="9"/>
  <c r="J20" i="9"/>
  <c r="I20" i="9"/>
  <c r="H20" i="9"/>
  <c r="G20" i="9"/>
  <c r="V19" i="9"/>
  <c r="T19" i="9"/>
  <c r="S19" i="9"/>
  <c r="R19" i="9"/>
  <c r="Q19" i="9"/>
  <c r="O19" i="9"/>
  <c r="N19" i="9"/>
  <c r="M19" i="9"/>
  <c r="L19" i="9"/>
  <c r="J19" i="9"/>
  <c r="I19" i="9"/>
  <c r="H19" i="9"/>
  <c r="G19" i="9"/>
  <c r="V18" i="9"/>
  <c r="T18" i="9"/>
  <c r="S18" i="9"/>
  <c r="R18" i="9"/>
  <c r="Q18" i="9"/>
  <c r="O18" i="9"/>
  <c r="N18" i="9"/>
  <c r="M18" i="9"/>
  <c r="L18" i="9"/>
  <c r="J18" i="9"/>
  <c r="I18" i="9"/>
  <c r="H18" i="9"/>
  <c r="G18" i="9"/>
  <c r="V17" i="9"/>
  <c r="T17" i="9"/>
  <c r="S17" i="9"/>
  <c r="R17" i="9"/>
  <c r="Q17" i="9"/>
  <c r="O17" i="9"/>
  <c r="N17" i="9"/>
  <c r="M17" i="9"/>
  <c r="L17" i="9"/>
  <c r="J17" i="9"/>
  <c r="I17" i="9"/>
  <c r="H17" i="9"/>
  <c r="G17" i="9"/>
  <c r="V16" i="9"/>
  <c r="T16" i="9"/>
  <c r="T15" i="9" s="1"/>
  <c r="S16" i="9"/>
  <c r="R16" i="9"/>
  <c r="Q16" i="9"/>
  <c r="O16" i="9"/>
  <c r="N16" i="9"/>
  <c r="M16" i="9"/>
  <c r="L16" i="9"/>
  <c r="J16" i="9"/>
  <c r="J15" i="9" s="1"/>
  <c r="I16" i="9"/>
  <c r="H16" i="9"/>
  <c r="G16" i="9"/>
  <c r="U15" i="9"/>
  <c r="P15" i="9"/>
  <c r="N15" i="9"/>
  <c r="K15" i="9"/>
  <c r="F15" i="9"/>
  <c r="E15" i="9"/>
  <c r="D15" i="9"/>
  <c r="V14" i="9"/>
  <c r="T14" i="9"/>
  <c r="S14" i="9"/>
  <c r="R14" i="9"/>
  <c r="Q14" i="9"/>
  <c r="O14" i="9"/>
  <c r="N14" i="9"/>
  <c r="M14" i="9"/>
  <c r="L14" i="9"/>
  <c r="J14" i="9"/>
  <c r="I14" i="9"/>
  <c r="H14" i="9"/>
  <c r="G14" i="9"/>
  <c r="V13" i="9"/>
  <c r="T13" i="9"/>
  <c r="S13" i="9"/>
  <c r="R13" i="9"/>
  <c r="Q13" i="9"/>
  <c r="O13" i="9"/>
  <c r="N13" i="9"/>
  <c r="M13" i="9"/>
  <c r="L13" i="9"/>
  <c r="J13" i="9"/>
  <c r="I13" i="9"/>
  <c r="H13" i="9"/>
  <c r="G13" i="9"/>
  <c r="V12" i="9"/>
  <c r="T12" i="9"/>
  <c r="S12" i="9"/>
  <c r="R12" i="9"/>
  <c r="Q12" i="9"/>
  <c r="O12" i="9"/>
  <c r="N12" i="9"/>
  <c r="M12" i="9"/>
  <c r="L12" i="9"/>
  <c r="J12" i="9"/>
  <c r="I12" i="9"/>
  <c r="H12" i="9"/>
  <c r="G12" i="9"/>
  <c r="V11" i="9"/>
  <c r="T11" i="9"/>
  <c r="S11" i="9"/>
  <c r="R11" i="9"/>
  <c r="Q11" i="9"/>
  <c r="O11" i="9"/>
  <c r="N11" i="9"/>
  <c r="M11" i="9"/>
  <c r="L11" i="9"/>
  <c r="J11" i="9"/>
  <c r="I11" i="9"/>
  <c r="H11" i="9"/>
  <c r="G11" i="9"/>
  <c r="V10" i="9"/>
  <c r="T10" i="9"/>
  <c r="S10" i="9"/>
  <c r="R10" i="9"/>
  <c r="Q10" i="9"/>
  <c r="O10" i="9"/>
  <c r="O9" i="9" s="1"/>
  <c r="N10" i="9"/>
  <c r="M10" i="9"/>
  <c r="L10" i="9"/>
  <c r="J10" i="9"/>
  <c r="I10" i="9"/>
  <c r="H10" i="9"/>
  <c r="G10" i="9"/>
  <c r="F10" i="9"/>
  <c r="F9" i="9" s="1"/>
  <c r="F23" i="9" s="1"/>
  <c r="F46" i="9" s="1"/>
  <c r="E10" i="9"/>
  <c r="D10" i="9"/>
  <c r="D9" i="9" s="1"/>
  <c r="D23" i="9" s="1"/>
  <c r="D46" i="9" s="1"/>
  <c r="D48" i="9" s="1"/>
  <c r="E47" i="9" s="1"/>
  <c r="U9" i="9"/>
  <c r="U23" i="9" s="1"/>
  <c r="U46" i="9" s="1"/>
  <c r="P9" i="9"/>
  <c r="P23" i="9" s="1"/>
  <c r="P46" i="9" s="1"/>
  <c r="K9" i="9"/>
  <c r="K23" i="9" s="1"/>
  <c r="K46" i="9" s="1"/>
  <c r="I9" i="9"/>
  <c r="E9" i="9"/>
  <c r="E23" i="9" s="1"/>
  <c r="E46" i="9" s="1"/>
  <c r="V8" i="9"/>
  <c r="T8" i="9"/>
  <c r="S8" i="9"/>
  <c r="R8" i="9"/>
  <c r="Q8" i="9"/>
  <c r="O8" i="9"/>
  <c r="N8" i="9"/>
  <c r="M8" i="9"/>
  <c r="L8" i="9"/>
  <c r="J8" i="9"/>
  <c r="I8" i="9"/>
  <c r="H8" i="9"/>
  <c r="G8" i="9"/>
  <c r="U33" i="8"/>
  <c r="P33" i="8"/>
  <c r="K33" i="8"/>
  <c r="F33" i="8"/>
  <c r="E33" i="8"/>
  <c r="D33" i="8"/>
  <c r="G32" i="8"/>
  <c r="V28" i="8"/>
  <c r="T28" i="8"/>
  <c r="S28" i="8"/>
  <c r="R28" i="8"/>
  <c r="Q28" i="8"/>
  <c r="O28" i="8"/>
  <c r="N28" i="8"/>
  <c r="M28" i="8"/>
  <c r="L28" i="8"/>
  <c r="J28" i="8"/>
  <c r="I28" i="8"/>
  <c r="H28" i="8"/>
  <c r="G28" i="8"/>
  <c r="U26" i="8"/>
  <c r="P26" i="8"/>
  <c r="K26" i="8"/>
  <c r="F26" i="8"/>
  <c r="E26" i="8"/>
  <c r="D26" i="8"/>
  <c r="V25" i="8"/>
  <c r="V26" i="8" s="1"/>
  <c r="T25" i="8"/>
  <c r="T26" i="8" s="1"/>
  <c r="S25" i="8"/>
  <c r="S26" i="8" s="1"/>
  <c r="R25" i="8"/>
  <c r="R26" i="8" s="1"/>
  <c r="Q25" i="8"/>
  <c r="Q26" i="8" s="1"/>
  <c r="O25" i="8"/>
  <c r="N25" i="8"/>
  <c r="N26" i="8" s="1"/>
  <c r="M25" i="8"/>
  <c r="M26" i="8" s="1"/>
  <c r="L25" i="8"/>
  <c r="L26" i="8" s="1"/>
  <c r="J25" i="8"/>
  <c r="J26" i="8" s="1"/>
  <c r="I25" i="8"/>
  <c r="I26" i="8" s="1"/>
  <c r="H25" i="8"/>
  <c r="H26" i="8" s="1"/>
  <c r="G25" i="8"/>
  <c r="G26" i="8" s="1"/>
  <c r="V24" i="8"/>
  <c r="T24" i="8"/>
  <c r="S24" i="8"/>
  <c r="R24" i="8"/>
  <c r="Q24" i="8"/>
  <c r="O24" i="8"/>
  <c r="N24" i="8"/>
  <c r="M24" i="8"/>
  <c r="L24" i="8"/>
  <c r="J24" i="8"/>
  <c r="I24" i="8"/>
  <c r="H24" i="8"/>
  <c r="G24" i="8"/>
  <c r="V23" i="8"/>
  <c r="T23" i="8"/>
  <c r="S23" i="8"/>
  <c r="R23" i="8"/>
  <c r="Q23" i="8"/>
  <c r="O23" i="8"/>
  <c r="N23" i="8"/>
  <c r="M23" i="8"/>
  <c r="L23" i="8"/>
  <c r="J23" i="8"/>
  <c r="I23" i="8"/>
  <c r="H23" i="8"/>
  <c r="G23" i="8"/>
  <c r="U22" i="8"/>
  <c r="S22" i="8"/>
  <c r="R22" i="8"/>
  <c r="Q22" i="8"/>
  <c r="P22" i="8"/>
  <c r="N22" i="8"/>
  <c r="M22" i="8"/>
  <c r="K22" i="8"/>
  <c r="I22" i="8"/>
  <c r="H22" i="8"/>
  <c r="G22" i="8"/>
  <c r="F22" i="8"/>
  <c r="E22" i="8"/>
  <c r="V21" i="8"/>
  <c r="U21" i="8"/>
  <c r="S21" i="8"/>
  <c r="S20" i="8" s="1"/>
  <c r="R21" i="8"/>
  <c r="R20" i="8" s="1"/>
  <c r="P21" i="8"/>
  <c r="N21" i="8"/>
  <c r="M21" i="8"/>
  <c r="L21" i="8"/>
  <c r="K21" i="8"/>
  <c r="K20" i="8" s="1"/>
  <c r="I21" i="8"/>
  <c r="H21" i="8"/>
  <c r="H20" i="8" s="1"/>
  <c r="G21" i="8"/>
  <c r="F21" i="8"/>
  <c r="E21" i="8"/>
  <c r="U20" i="8"/>
  <c r="P20" i="8"/>
  <c r="F20" i="8"/>
  <c r="E20" i="8"/>
  <c r="D20" i="8"/>
  <c r="U17" i="8"/>
  <c r="T17" i="8"/>
  <c r="S17" i="8"/>
  <c r="R17" i="8"/>
  <c r="Q17" i="8"/>
  <c r="P17" i="8"/>
  <c r="N17" i="8"/>
  <c r="M17" i="8"/>
  <c r="K17" i="8"/>
  <c r="I17" i="8"/>
  <c r="H17" i="8"/>
  <c r="G17" i="8"/>
  <c r="F17" i="8"/>
  <c r="E17" i="8"/>
  <c r="V16" i="8"/>
  <c r="U16" i="8"/>
  <c r="S16" i="8"/>
  <c r="S15" i="8" s="1"/>
  <c r="R16" i="8"/>
  <c r="R15" i="8" s="1"/>
  <c r="P16" i="8"/>
  <c r="N16" i="8"/>
  <c r="N15" i="8" s="1"/>
  <c r="M16" i="8"/>
  <c r="L16" i="8"/>
  <c r="K16" i="8"/>
  <c r="I16" i="8"/>
  <c r="H16" i="8"/>
  <c r="G16" i="8"/>
  <c r="F16" i="8"/>
  <c r="F15" i="8" s="1"/>
  <c r="E16" i="8"/>
  <c r="U15" i="8"/>
  <c r="P15" i="8"/>
  <c r="M15" i="8"/>
  <c r="K15" i="8"/>
  <c r="I15" i="8"/>
  <c r="E15" i="8"/>
  <c r="D15" i="8"/>
  <c r="U12" i="8"/>
  <c r="P12" i="8"/>
  <c r="K12" i="8"/>
  <c r="F12" i="8"/>
  <c r="E12" i="8"/>
  <c r="D12" i="8"/>
  <c r="V11" i="8"/>
  <c r="V12" i="8" s="1"/>
  <c r="T11" i="8"/>
  <c r="T12" i="8" s="1"/>
  <c r="S11" i="8"/>
  <c r="S12" i="8" s="1"/>
  <c r="R11" i="8"/>
  <c r="R12" i="8" s="1"/>
  <c r="Q11" i="8"/>
  <c r="Q12" i="8" s="1"/>
  <c r="O11" i="8"/>
  <c r="N11" i="8"/>
  <c r="N12" i="8" s="1"/>
  <c r="M11" i="8"/>
  <c r="M12" i="8" s="1"/>
  <c r="L11" i="8"/>
  <c r="L12" i="8" s="1"/>
  <c r="J11" i="8"/>
  <c r="J12" i="8" s="1"/>
  <c r="I11" i="8"/>
  <c r="I12" i="8" s="1"/>
  <c r="H11" i="8"/>
  <c r="H12" i="8" s="1"/>
  <c r="G11" i="8"/>
  <c r="G12" i="8" s="1"/>
  <c r="D10" i="8"/>
  <c r="V9" i="8"/>
  <c r="T9" i="8"/>
  <c r="S9" i="8"/>
  <c r="R9" i="8"/>
  <c r="Q9" i="8"/>
  <c r="O9" i="8"/>
  <c r="N9" i="8"/>
  <c r="M9" i="8"/>
  <c r="L9" i="8"/>
  <c r="J9" i="8"/>
  <c r="I9" i="8"/>
  <c r="H9" i="8"/>
  <c r="G9" i="8"/>
  <c r="F9" i="8"/>
  <c r="E9" i="8"/>
  <c r="D9" i="8"/>
  <c r="U8" i="8"/>
  <c r="P8" i="8"/>
  <c r="K8" i="8"/>
  <c r="F8" i="8"/>
  <c r="E8" i="8"/>
  <c r="D8" i="8"/>
  <c r="D7" i="8"/>
  <c r="U67" i="7"/>
  <c r="P67" i="7"/>
  <c r="K67" i="7"/>
  <c r="F67" i="7"/>
  <c r="E67" i="7"/>
  <c r="D67" i="7"/>
  <c r="U64" i="7"/>
  <c r="P64" i="7"/>
  <c r="K64" i="7"/>
  <c r="F64" i="7"/>
  <c r="E64" i="7"/>
  <c r="D64" i="7"/>
  <c r="U61" i="7"/>
  <c r="P61" i="7"/>
  <c r="K61" i="7"/>
  <c r="F61" i="7"/>
  <c r="E61" i="7"/>
  <c r="D61" i="7"/>
  <c r="U58" i="7"/>
  <c r="P58" i="7"/>
  <c r="K58" i="7"/>
  <c r="F58" i="7"/>
  <c r="E58" i="7"/>
  <c r="D58" i="7"/>
  <c r="U53" i="7"/>
  <c r="P53" i="7"/>
  <c r="K53" i="7"/>
  <c r="F53" i="7"/>
  <c r="E53" i="7"/>
  <c r="D53" i="7"/>
  <c r="U50" i="7"/>
  <c r="P50" i="7"/>
  <c r="K50" i="7"/>
  <c r="F50" i="7"/>
  <c r="E50" i="7"/>
  <c r="D50" i="7"/>
  <c r="V46" i="7"/>
  <c r="U46" i="7"/>
  <c r="S46" i="7"/>
  <c r="R46" i="7"/>
  <c r="Q46" i="7"/>
  <c r="P46" i="7"/>
  <c r="P68" i="7" s="1"/>
  <c r="N46" i="7"/>
  <c r="M46" i="7"/>
  <c r="L46" i="7"/>
  <c r="K46" i="7"/>
  <c r="I46" i="7"/>
  <c r="H46" i="7"/>
  <c r="G46" i="7"/>
  <c r="F46" i="7"/>
  <c r="E46" i="7"/>
  <c r="D46" i="7"/>
  <c r="V45" i="7"/>
  <c r="U45" i="7"/>
  <c r="U51" i="7" s="1"/>
  <c r="S45" i="7"/>
  <c r="R45" i="7"/>
  <c r="Q45" i="7"/>
  <c r="P45" i="7"/>
  <c r="P54" i="7" s="1"/>
  <c r="N45" i="7"/>
  <c r="M45" i="7"/>
  <c r="L45" i="7"/>
  <c r="K45" i="7"/>
  <c r="K51" i="7" s="1"/>
  <c r="I45" i="7"/>
  <c r="H45" i="7"/>
  <c r="G45" i="7"/>
  <c r="F45" i="7"/>
  <c r="E45" i="7"/>
  <c r="E51" i="7" s="1"/>
  <c r="D45" i="7"/>
  <c r="U42" i="7"/>
  <c r="P42" i="7"/>
  <c r="N42" i="7"/>
  <c r="M42" i="7"/>
  <c r="L42" i="7"/>
  <c r="K42" i="7"/>
  <c r="J42" i="7"/>
  <c r="I42" i="7"/>
  <c r="H42" i="7"/>
  <c r="G42" i="7"/>
  <c r="F42" i="7"/>
  <c r="E42" i="7"/>
  <c r="D42" i="7"/>
  <c r="E43" i="7" s="1"/>
  <c r="E10" i="8" s="1"/>
  <c r="V37" i="7"/>
  <c r="T37" i="7"/>
  <c r="S37" i="7"/>
  <c r="R37" i="7"/>
  <c r="Q37" i="7"/>
  <c r="O37" i="7"/>
  <c r="N37" i="7"/>
  <c r="M37" i="7"/>
  <c r="L37" i="7"/>
  <c r="J37" i="7"/>
  <c r="I37" i="7"/>
  <c r="H37" i="7"/>
  <c r="G37" i="7"/>
  <c r="V36" i="7"/>
  <c r="T36" i="7"/>
  <c r="S36" i="7"/>
  <c r="S35" i="7" s="1"/>
  <c r="R36" i="7"/>
  <c r="R35" i="7" s="1"/>
  <c r="Q36" i="7"/>
  <c r="Q35" i="7" s="1"/>
  <c r="O36" i="7"/>
  <c r="N36" i="7"/>
  <c r="N35" i="7" s="1"/>
  <c r="M36" i="7"/>
  <c r="L36" i="7"/>
  <c r="J36" i="7"/>
  <c r="I36" i="7"/>
  <c r="H36" i="7"/>
  <c r="H35" i="7" s="1"/>
  <c r="G36" i="7"/>
  <c r="U35" i="7"/>
  <c r="T35" i="7"/>
  <c r="P35" i="7"/>
  <c r="O35" i="7"/>
  <c r="M35" i="7"/>
  <c r="K35" i="7"/>
  <c r="I35" i="7"/>
  <c r="G35" i="7"/>
  <c r="F35" i="7"/>
  <c r="E35" i="7"/>
  <c r="D35" i="7"/>
  <c r="V33" i="7"/>
  <c r="T33" i="7"/>
  <c r="S33" i="7"/>
  <c r="R33" i="7"/>
  <c r="Q33" i="7"/>
  <c r="O33" i="7"/>
  <c r="N33" i="7"/>
  <c r="M33" i="7"/>
  <c r="L33" i="7"/>
  <c r="J33" i="7"/>
  <c r="I33" i="7"/>
  <c r="H33" i="7"/>
  <c r="G33" i="7"/>
  <c r="V32" i="7"/>
  <c r="T32" i="7"/>
  <c r="S32" i="7"/>
  <c r="R32" i="7"/>
  <c r="Q32" i="7"/>
  <c r="O32" i="7"/>
  <c r="N32" i="7"/>
  <c r="M32" i="7"/>
  <c r="L32" i="7"/>
  <c r="J32" i="7"/>
  <c r="I32" i="7"/>
  <c r="H32" i="7"/>
  <c r="G32" i="7"/>
  <c r="V31" i="7"/>
  <c r="T31" i="7"/>
  <c r="T23" i="5" s="1"/>
  <c r="S31" i="7"/>
  <c r="R31" i="7"/>
  <c r="Q31" i="7"/>
  <c r="Q23" i="5" s="1"/>
  <c r="O31" i="7"/>
  <c r="O23" i="5" s="1"/>
  <c r="N31" i="7"/>
  <c r="M31" i="7"/>
  <c r="L31" i="7"/>
  <c r="J31" i="7"/>
  <c r="I31" i="7"/>
  <c r="H31" i="7"/>
  <c r="G31" i="7"/>
  <c r="G23" i="5" s="1"/>
  <c r="V30" i="7"/>
  <c r="V12" i="5" s="1"/>
  <c r="T30" i="7"/>
  <c r="S30" i="7"/>
  <c r="R30" i="7"/>
  <c r="Q30" i="7"/>
  <c r="O30" i="7"/>
  <c r="N30" i="7"/>
  <c r="M30" i="7"/>
  <c r="L30" i="7"/>
  <c r="L12" i="5" s="1"/>
  <c r="J30" i="7"/>
  <c r="I30" i="7"/>
  <c r="H30" i="7"/>
  <c r="G30" i="7"/>
  <c r="G29" i="7" s="1"/>
  <c r="V29" i="7"/>
  <c r="U29" i="7"/>
  <c r="P29" i="7"/>
  <c r="O29" i="7"/>
  <c r="L29" i="7"/>
  <c r="K29" i="7"/>
  <c r="F29" i="7"/>
  <c r="E29" i="7"/>
  <c r="D29" i="7"/>
  <c r="V27" i="7"/>
  <c r="V67" i="7" s="1"/>
  <c r="V68" i="7" s="1"/>
  <c r="T27" i="7"/>
  <c r="T67" i="7" s="1"/>
  <c r="S27" i="7"/>
  <c r="S67" i="7" s="1"/>
  <c r="S68" i="7" s="1"/>
  <c r="R27" i="7"/>
  <c r="R67" i="7" s="1"/>
  <c r="R68" i="7" s="1"/>
  <c r="Q27" i="7"/>
  <c r="Q67" i="7" s="1"/>
  <c r="Q68" i="7" s="1"/>
  <c r="O27" i="7"/>
  <c r="O67" i="7" s="1"/>
  <c r="N27" i="7"/>
  <c r="N67" i="7" s="1"/>
  <c r="N68" i="7" s="1"/>
  <c r="M27" i="7"/>
  <c r="L27" i="7"/>
  <c r="L67" i="7" s="1"/>
  <c r="L68" i="7" s="1"/>
  <c r="J27" i="7"/>
  <c r="J67" i="7" s="1"/>
  <c r="I27" i="7"/>
  <c r="I67" i="7" s="1"/>
  <c r="I68" i="7" s="1"/>
  <c r="H27" i="7"/>
  <c r="H67" i="7" s="1"/>
  <c r="H68" i="7" s="1"/>
  <c r="G27" i="7"/>
  <c r="V26" i="7"/>
  <c r="V61" i="7" s="1"/>
  <c r="V62" i="7" s="1"/>
  <c r="T26" i="7"/>
  <c r="T61" i="7" s="1"/>
  <c r="S26" i="7"/>
  <c r="R26" i="7"/>
  <c r="R61" i="7" s="1"/>
  <c r="R62" i="7" s="1"/>
  <c r="Q26" i="7"/>
  <c r="Q61" i="7" s="1"/>
  <c r="Q62" i="7" s="1"/>
  <c r="O26" i="7"/>
  <c r="O61" i="7" s="1"/>
  <c r="N26" i="7"/>
  <c r="N61" i="7" s="1"/>
  <c r="N62" i="7" s="1"/>
  <c r="M26" i="7"/>
  <c r="M61" i="7" s="1"/>
  <c r="M62" i="7" s="1"/>
  <c r="L26" i="7"/>
  <c r="L61" i="7" s="1"/>
  <c r="L62" i="7" s="1"/>
  <c r="J26" i="7"/>
  <c r="J61" i="7" s="1"/>
  <c r="I26" i="7"/>
  <c r="I61" i="7" s="1"/>
  <c r="I62" i="7" s="1"/>
  <c r="H26" i="7"/>
  <c r="H61" i="7" s="1"/>
  <c r="H62" i="7" s="1"/>
  <c r="G26" i="7"/>
  <c r="G61" i="7" s="1"/>
  <c r="G62" i="7" s="1"/>
  <c r="V25" i="7"/>
  <c r="V58" i="7" s="1"/>
  <c r="T25" i="7"/>
  <c r="T58" i="7" s="1"/>
  <c r="S25" i="7"/>
  <c r="S58" i="7" s="1"/>
  <c r="R25" i="7"/>
  <c r="R58" i="7" s="1"/>
  <c r="Q25" i="7"/>
  <c r="Q58" i="7" s="1"/>
  <c r="O25" i="7"/>
  <c r="O58" i="7" s="1"/>
  <c r="N25" i="7"/>
  <c r="M25" i="7"/>
  <c r="M58" i="7" s="1"/>
  <c r="L25" i="7"/>
  <c r="L58" i="7" s="1"/>
  <c r="J25" i="7"/>
  <c r="J58" i="7" s="1"/>
  <c r="I25" i="7"/>
  <c r="H25" i="7"/>
  <c r="G25" i="7"/>
  <c r="G58" i="7" s="1"/>
  <c r="G59" i="7" s="1"/>
  <c r="V24" i="7"/>
  <c r="T24" i="7"/>
  <c r="S24" i="7"/>
  <c r="S64" i="7" s="1"/>
  <c r="S65" i="7" s="1"/>
  <c r="R24" i="7"/>
  <c r="R64" i="7" s="1"/>
  <c r="R65" i="7" s="1"/>
  <c r="Q24" i="7"/>
  <c r="Q23" i="7" s="1"/>
  <c r="O24" i="7"/>
  <c r="N24" i="7"/>
  <c r="N64" i="7" s="1"/>
  <c r="N65" i="7" s="1"/>
  <c r="M24" i="7"/>
  <c r="M64" i="7" s="1"/>
  <c r="M65" i="7" s="1"/>
  <c r="L24" i="7"/>
  <c r="J24" i="7"/>
  <c r="I24" i="7"/>
  <c r="I64" i="7" s="1"/>
  <c r="I65" i="7" s="1"/>
  <c r="H24" i="7"/>
  <c r="H64" i="7" s="1"/>
  <c r="H65" i="7" s="1"/>
  <c r="G24" i="7"/>
  <c r="G64" i="7" s="1"/>
  <c r="U23" i="7"/>
  <c r="R23" i="7"/>
  <c r="P23" i="7"/>
  <c r="K23" i="7"/>
  <c r="K21" i="7" s="1"/>
  <c r="K40" i="7" s="1"/>
  <c r="F23" i="7"/>
  <c r="E23" i="7"/>
  <c r="E21" i="7" s="1"/>
  <c r="D23" i="7"/>
  <c r="D21" i="7" s="1"/>
  <c r="U21" i="7"/>
  <c r="P21" i="7"/>
  <c r="P40" i="7" s="1"/>
  <c r="F21" i="7"/>
  <c r="V19" i="7"/>
  <c r="T19" i="7"/>
  <c r="S19" i="7"/>
  <c r="R19" i="7"/>
  <c r="Q19" i="7"/>
  <c r="O19" i="7"/>
  <c r="N19" i="7"/>
  <c r="M19" i="7"/>
  <c r="L19" i="7"/>
  <c r="J19" i="7"/>
  <c r="I19" i="7"/>
  <c r="H19" i="7"/>
  <c r="G19" i="7"/>
  <c r="V18" i="7"/>
  <c r="T18" i="7"/>
  <c r="S18" i="7"/>
  <c r="R18" i="7"/>
  <c r="Q18" i="7"/>
  <c r="O18" i="7"/>
  <c r="N18" i="7"/>
  <c r="M18" i="7"/>
  <c r="L18" i="7"/>
  <c r="J18" i="7"/>
  <c r="I18" i="7"/>
  <c r="H18" i="7"/>
  <c r="G18" i="7"/>
  <c r="V17" i="7"/>
  <c r="T17" i="7"/>
  <c r="S17" i="7"/>
  <c r="R17" i="7"/>
  <c r="Q17" i="7"/>
  <c r="O17" i="7"/>
  <c r="N17" i="7"/>
  <c r="M17" i="7"/>
  <c r="L17" i="7"/>
  <c r="J17" i="7"/>
  <c r="I17" i="7"/>
  <c r="H17" i="7"/>
  <c r="G17" i="7"/>
  <c r="V16" i="7"/>
  <c r="T16" i="7"/>
  <c r="S16" i="7"/>
  <c r="R16" i="7"/>
  <c r="Q16" i="7"/>
  <c r="O16" i="7"/>
  <c r="N16" i="7"/>
  <c r="M16" i="7"/>
  <c r="L16" i="7"/>
  <c r="J16" i="7"/>
  <c r="I16" i="7"/>
  <c r="H16" i="7"/>
  <c r="G16" i="7"/>
  <c r="V15" i="7"/>
  <c r="T15" i="7"/>
  <c r="T14" i="7" s="1"/>
  <c r="S15" i="7"/>
  <c r="S14" i="7" s="1"/>
  <c r="R15" i="7"/>
  <c r="Q15" i="7"/>
  <c r="O15" i="7"/>
  <c r="N15" i="7"/>
  <c r="M15" i="7"/>
  <c r="L15" i="7"/>
  <c r="J15" i="7"/>
  <c r="J14" i="7" s="1"/>
  <c r="I15" i="7"/>
  <c r="I14" i="7" s="1"/>
  <c r="H15" i="7"/>
  <c r="G15" i="7"/>
  <c r="U14" i="7"/>
  <c r="P14" i="7"/>
  <c r="M14" i="7"/>
  <c r="K14" i="7"/>
  <c r="F14" i="7"/>
  <c r="E14" i="7"/>
  <c r="D14" i="7"/>
  <c r="V12" i="7"/>
  <c r="V53" i="7" s="1"/>
  <c r="V54" i="7" s="1"/>
  <c r="T12" i="7"/>
  <c r="T53" i="7" s="1"/>
  <c r="S12" i="7"/>
  <c r="S53" i="7" s="1"/>
  <c r="S54" i="7" s="1"/>
  <c r="R12" i="7"/>
  <c r="R53" i="7" s="1"/>
  <c r="R54" i="7" s="1"/>
  <c r="Q12" i="7"/>
  <c r="Q53" i="7" s="1"/>
  <c r="Q54" i="7" s="1"/>
  <c r="O12" i="7"/>
  <c r="O53" i="7" s="1"/>
  <c r="N12" i="7"/>
  <c r="N53" i="7" s="1"/>
  <c r="N54" i="7" s="1"/>
  <c r="M12" i="7"/>
  <c r="M53" i="7" s="1"/>
  <c r="M54" i="7" s="1"/>
  <c r="L12" i="7"/>
  <c r="L53" i="7" s="1"/>
  <c r="L54" i="7" s="1"/>
  <c r="J12" i="7"/>
  <c r="J53" i="7" s="1"/>
  <c r="I12" i="7"/>
  <c r="I53" i="7" s="1"/>
  <c r="I54" i="7" s="1"/>
  <c r="H12" i="7"/>
  <c r="H53" i="7" s="1"/>
  <c r="H54" i="7" s="1"/>
  <c r="G12" i="7"/>
  <c r="G53" i="7" s="1"/>
  <c r="V11" i="7"/>
  <c r="V50" i="7" s="1"/>
  <c r="V51" i="7" s="1"/>
  <c r="T11" i="7"/>
  <c r="T50" i="7" s="1"/>
  <c r="S11" i="7"/>
  <c r="R11" i="7"/>
  <c r="Q11" i="7"/>
  <c r="O11" i="7"/>
  <c r="O50" i="7" s="1"/>
  <c r="N11" i="7"/>
  <c r="N50" i="7" s="1"/>
  <c r="N51" i="7" s="1"/>
  <c r="M11" i="7"/>
  <c r="M50" i="7" s="1"/>
  <c r="M51" i="7" s="1"/>
  <c r="L11" i="7"/>
  <c r="L50" i="7" s="1"/>
  <c r="L51" i="7" s="1"/>
  <c r="J11" i="7"/>
  <c r="I11" i="7"/>
  <c r="H11" i="7"/>
  <c r="H50" i="7" s="1"/>
  <c r="H51" i="7" s="1"/>
  <c r="G11" i="7"/>
  <c r="G50" i="7" s="1"/>
  <c r="G51" i="7" s="1"/>
  <c r="V10" i="7"/>
  <c r="T10" i="7"/>
  <c r="S10" i="7"/>
  <c r="R10" i="7"/>
  <c r="R9" i="7" s="1"/>
  <c r="Q10" i="7"/>
  <c r="Q9" i="7" s="1"/>
  <c r="O10" i="7"/>
  <c r="O9" i="7" s="1"/>
  <c r="N10" i="7"/>
  <c r="M10" i="7"/>
  <c r="L10" i="7"/>
  <c r="L9" i="7" s="1"/>
  <c r="J10" i="7"/>
  <c r="I10" i="7"/>
  <c r="H10" i="7"/>
  <c r="G10" i="7"/>
  <c r="V9" i="7"/>
  <c r="U9" i="7"/>
  <c r="U7" i="7" s="1"/>
  <c r="P9" i="7"/>
  <c r="K9" i="7"/>
  <c r="K7" i="7" s="1"/>
  <c r="K4" i="7" s="1"/>
  <c r="H9" i="7"/>
  <c r="F9" i="7"/>
  <c r="F7" i="7" s="1"/>
  <c r="E9" i="7"/>
  <c r="E7" i="7" s="1"/>
  <c r="D9" i="7"/>
  <c r="P7" i="7"/>
  <c r="D7" i="7"/>
  <c r="F15" i="6"/>
  <c r="E15" i="6" s="1"/>
  <c r="L5" i="10" s="1"/>
  <c r="Q24" i="5"/>
  <c r="R24" i="5" s="1"/>
  <c r="S24" i="5" s="1"/>
  <c r="T24" i="5" s="1"/>
  <c r="L24" i="5"/>
  <c r="M24" i="5" s="1"/>
  <c r="N24" i="5" s="1"/>
  <c r="O24" i="5" s="1"/>
  <c r="G24" i="5"/>
  <c r="H24" i="5" s="1"/>
  <c r="I24" i="5" s="1"/>
  <c r="J24" i="5" s="1"/>
  <c r="V23" i="5"/>
  <c r="V10" i="5" s="1"/>
  <c r="U23" i="5"/>
  <c r="R23" i="5"/>
  <c r="P23" i="5"/>
  <c r="N23" i="5"/>
  <c r="M23" i="5"/>
  <c r="L23" i="5"/>
  <c r="K23" i="5"/>
  <c r="J23" i="5"/>
  <c r="H23" i="5"/>
  <c r="F23" i="5"/>
  <c r="E23" i="5"/>
  <c r="D23" i="5"/>
  <c r="V18" i="5"/>
  <c r="U18" i="5"/>
  <c r="U19" i="5" s="1"/>
  <c r="S18" i="5"/>
  <c r="S19" i="5" s="1"/>
  <c r="R18" i="5"/>
  <c r="R19" i="5" s="1"/>
  <c r="Q18" i="5"/>
  <c r="Q19" i="5" s="1"/>
  <c r="P18" i="5"/>
  <c r="P19" i="5" s="1"/>
  <c r="N18" i="5"/>
  <c r="N19" i="5" s="1"/>
  <c r="M18" i="5"/>
  <c r="M19" i="5" s="1"/>
  <c r="L18" i="5"/>
  <c r="L19" i="5" s="1"/>
  <c r="K18" i="5"/>
  <c r="K19" i="5" s="1"/>
  <c r="I18" i="5"/>
  <c r="I19" i="5" s="1"/>
  <c r="H18" i="5"/>
  <c r="H19" i="5" s="1"/>
  <c r="G18" i="5"/>
  <c r="F18" i="5"/>
  <c r="F19" i="5" s="1"/>
  <c r="E18" i="5"/>
  <c r="E19" i="5" s="1"/>
  <c r="D18" i="5"/>
  <c r="D19" i="5" s="1"/>
  <c r="V15" i="5"/>
  <c r="U15" i="5"/>
  <c r="S15" i="5"/>
  <c r="R15" i="5"/>
  <c r="Q15" i="5"/>
  <c r="P15" i="5"/>
  <c r="N15" i="5"/>
  <c r="M15" i="5"/>
  <c r="L15" i="5"/>
  <c r="L16" i="5" s="1"/>
  <c r="L8" i="5" s="1"/>
  <c r="K15" i="5"/>
  <c r="I15" i="5"/>
  <c r="H15" i="5"/>
  <c r="G15" i="5"/>
  <c r="F15" i="5"/>
  <c r="E15" i="5"/>
  <c r="D15" i="5"/>
  <c r="U12" i="5"/>
  <c r="U16" i="5" s="1"/>
  <c r="T12" i="5"/>
  <c r="S12" i="5"/>
  <c r="S16" i="5" s="1"/>
  <c r="S8" i="5" s="1"/>
  <c r="R12" i="5"/>
  <c r="R10" i="5" s="1"/>
  <c r="P12" i="5"/>
  <c r="O12" i="5"/>
  <c r="O10" i="5" s="1"/>
  <c r="N12" i="5"/>
  <c r="M12" i="5"/>
  <c r="M16" i="5" s="1"/>
  <c r="K12" i="5"/>
  <c r="J12" i="5"/>
  <c r="I12" i="5"/>
  <c r="H12" i="5"/>
  <c r="H10" i="5" s="1"/>
  <c r="F12" i="5"/>
  <c r="E12" i="5"/>
  <c r="E16" i="5" s="1"/>
  <c r="E8" i="5" s="1"/>
  <c r="D12" i="5"/>
  <c r="N10" i="5"/>
  <c r="M10" i="5"/>
  <c r="F10" i="5"/>
  <c r="E10" i="5"/>
  <c r="D10" i="5"/>
  <c r="U8" i="5"/>
  <c r="M8" i="5"/>
  <c r="U7" i="5"/>
  <c r="P7" i="5"/>
  <c r="K7" i="5"/>
  <c r="F7" i="5"/>
  <c r="E7" i="5"/>
  <c r="D7" i="5"/>
  <c r="Y43" i="4"/>
  <c r="Y44" i="4" s="1"/>
  <c r="T43" i="4"/>
  <c r="T44" i="4" s="1"/>
  <c r="O43" i="4"/>
  <c r="O44" i="4" s="1"/>
  <c r="J43" i="4"/>
  <c r="J44" i="4" s="1"/>
  <c r="E43" i="4"/>
  <c r="E44" i="4" s="1"/>
  <c r="D43" i="4"/>
  <c r="D44" i="4" s="1"/>
  <c r="Z40" i="4"/>
  <c r="Y40" i="4"/>
  <c r="X40" i="4"/>
  <c r="W40" i="4"/>
  <c r="V40" i="4"/>
  <c r="U40" i="4"/>
  <c r="T40" i="4"/>
  <c r="S40" i="4"/>
  <c r="R40" i="4"/>
  <c r="Q40" i="4"/>
  <c r="P40" i="4"/>
  <c r="O40" i="4"/>
  <c r="N40" i="4"/>
  <c r="M40" i="4"/>
  <c r="L40" i="4"/>
  <c r="K40" i="4"/>
  <c r="J40" i="4"/>
  <c r="E40" i="4"/>
  <c r="D40" i="4"/>
  <c r="Z37" i="4"/>
  <c r="Z38" i="4" s="1"/>
  <c r="Y37" i="4"/>
  <c r="X37" i="4"/>
  <c r="X38" i="4" s="1"/>
  <c r="W37" i="4"/>
  <c r="W38" i="4" s="1"/>
  <c r="V37" i="4"/>
  <c r="V38" i="4" s="1"/>
  <c r="U37" i="4"/>
  <c r="U38" i="4" s="1"/>
  <c r="T37" i="4"/>
  <c r="S37" i="4"/>
  <c r="S41" i="4" s="1"/>
  <c r="R37" i="4"/>
  <c r="R38" i="4" s="1"/>
  <c r="Q37" i="4"/>
  <c r="Q38" i="4" s="1"/>
  <c r="P37" i="4"/>
  <c r="O37" i="4"/>
  <c r="N37" i="4"/>
  <c r="M37" i="4"/>
  <c r="L37" i="4"/>
  <c r="K37" i="4"/>
  <c r="J37" i="4"/>
  <c r="I37" i="4"/>
  <c r="H37" i="4"/>
  <c r="G37" i="4"/>
  <c r="F37" i="4"/>
  <c r="E37" i="4"/>
  <c r="D37" i="4"/>
  <c r="Y32" i="4"/>
  <c r="T32" i="4"/>
  <c r="O32" i="4"/>
  <c r="J32" i="4"/>
  <c r="E32" i="4"/>
  <c r="D32" i="4"/>
  <c r="Y30" i="4"/>
  <c r="T30" i="4"/>
  <c r="O30" i="4"/>
  <c r="J30" i="4"/>
  <c r="E30" i="4"/>
  <c r="D30" i="4"/>
  <c r="Y28" i="4"/>
  <c r="T28" i="4"/>
  <c r="O28" i="4"/>
  <c r="J28" i="4"/>
  <c r="E28" i="4"/>
  <c r="D28" i="4"/>
  <c r="X27" i="4"/>
  <c r="S27" i="4"/>
  <c r="N27" i="4"/>
  <c r="I27" i="4"/>
  <c r="Z23" i="4"/>
  <c r="Y23" i="4"/>
  <c r="W23" i="4"/>
  <c r="V23" i="4"/>
  <c r="U23" i="4"/>
  <c r="T23" i="4"/>
  <c r="R23" i="4"/>
  <c r="Q23" i="4"/>
  <c r="P23" i="4"/>
  <c r="O23" i="4"/>
  <c r="M23" i="4"/>
  <c r="L23" i="4"/>
  <c r="K23" i="4"/>
  <c r="J23" i="4"/>
  <c r="H23" i="4"/>
  <c r="G23" i="4"/>
  <c r="F23" i="4"/>
  <c r="E23" i="4"/>
  <c r="D23" i="4"/>
  <c r="X22" i="4"/>
  <c r="S22" i="4"/>
  <c r="N22" i="4"/>
  <c r="I22" i="4"/>
  <c r="X21" i="4"/>
  <c r="T18" i="5" s="1"/>
  <c r="T19" i="5" s="1"/>
  <c r="S21" i="4"/>
  <c r="O18" i="5" s="1"/>
  <c r="N21" i="4"/>
  <c r="J18" i="5" s="1"/>
  <c r="J19" i="5" s="1"/>
  <c r="I21" i="4"/>
  <c r="X20" i="4"/>
  <c r="T15" i="5" s="1"/>
  <c r="T16" i="5" s="1"/>
  <c r="T8" i="5" s="1"/>
  <c r="S20" i="4"/>
  <c r="O15" i="5" s="1"/>
  <c r="O16" i="5" s="1"/>
  <c r="O8" i="5" s="1"/>
  <c r="N20" i="4"/>
  <c r="J15" i="5" s="1"/>
  <c r="J16" i="5" s="1"/>
  <c r="J8" i="5" s="1"/>
  <c r="I20" i="4"/>
  <c r="X19" i="4"/>
  <c r="X23" i="4" s="1"/>
  <c r="S19" i="4"/>
  <c r="S23" i="4" s="1"/>
  <c r="N19" i="4"/>
  <c r="N23" i="4" s="1"/>
  <c r="I19" i="4"/>
  <c r="I23" i="4" s="1"/>
  <c r="X15" i="4"/>
  <c r="S15" i="4"/>
  <c r="N15" i="4"/>
  <c r="I15" i="4"/>
  <c r="X14" i="4"/>
  <c r="S14" i="4"/>
  <c r="N14" i="4"/>
  <c r="I14" i="4"/>
  <c r="X13" i="4"/>
  <c r="X12" i="4" s="1"/>
  <c r="T47" i="7" s="1"/>
  <c r="S13" i="4"/>
  <c r="N13" i="4"/>
  <c r="I13" i="4"/>
  <c r="V47" i="7"/>
  <c r="Y12" i="4"/>
  <c r="W12" i="4"/>
  <c r="S47" i="7" s="1"/>
  <c r="V12" i="4"/>
  <c r="R47" i="7" s="1"/>
  <c r="U12" i="4"/>
  <c r="Q47" i="7" s="1"/>
  <c r="Q59" i="7" s="1"/>
  <c r="T12" i="4"/>
  <c r="S12" i="4"/>
  <c r="O47" i="7" s="1"/>
  <c r="R12" i="4"/>
  <c r="N47" i="7" s="1"/>
  <c r="Q12" i="4"/>
  <c r="P12" i="4"/>
  <c r="L47" i="7" s="1"/>
  <c r="O12" i="4"/>
  <c r="N12" i="4"/>
  <c r="J47" i="7" s="1"/>
  <c r="M12" i="4"/>
  <c r="I47" i="7" s="1"/>
  <c r="L12" i="4"/>
  <c r="H47" i="7" s="1"/>
  <c r="K12" i="4"/>
  <c r="G47" i="7" s="1"/>
  <c r="J12" i="4"/>
  <c r="H12" i="4"/>
  <c r="G12" i="4"/>
  <c r="F12" i="4"/>
  <c r="E12" i="4"/>
  <c r="H55" i="16" s="1"/>
  <c r="D12" i="4"/>
  <c r="D47" i="7" s="1"/>
  <c r="Z10" i="4"/>
  <c r="Z17" i="4" s="1"/>
  <c r="Y10" i="4"/>
  <c r="W10" i="4"/>
  <c r="V10" i="4"/>
  <c r="U10" i="4"/>
  <c r="U17" i="4" s="1"/>
  <c r="T10" i="4"/>
  <c r="R10" i="4"/>
  <c r="R17" i="4" s="1"/>
  <c r="Q10" i="4"/>
  <c r="P10" i="4"/>
  <c r="P17" i="4" s="1"/>
  <c r="P43" i="4" s="1"/>
  <c r="P44" i="4" s="1"/>
  <c r="O10" i="4"/>
  <c r="M10" i="4"/>
  <c r="M17" i="4" s="1"/>
  <c r="L10" i="4"/>
  <c r="K10" i="4"/>
  <c r="K17" i="4" s="1"/>
  <c r="J10" i="4"/>
  <c r="H10" i="4"/>
  <c r="H17" i="4" s="1"/>
  <c r="G10" i="4"/>
  <c r="F10" i="4"/>
  <c r="E10" i="4"/>
  <c r="D10" i="4"/>
  <c r="X8" i="4"/>
  <c r="T46" i="7" s="1"/>
  <c r="S8" i="4"/>
  <c r="N8" i="4"/>
  <c r="J46" i="7" s="1"/>
  <c r="I8" i="4"/>
  <c r="Z7" i="4"/>
  <c r="Y7" i="4"/>
  <c r="W7" i="4"/>
  <c r="V7" i="4"/>
  <c r="U7" i="4"/>
  <c r="T7" i="4"/>
  <c r="R7" i="4"/>
  <c r="Q7" i="4"/>
  <c r="P7" i="4"/>
  <c r="O7" i="4"/>
  <c r="M7" i="4"/>
  <c r="L7" i="4"/>
  <c r="K7" i="4"/>
  <c r="J7" i="4"/>
  <c r="E7" i="4"/>
  <c r="X6" i="4"/>
  <c r="S6" i="4"/>
  <c r="N6" i="4"/>
  <c r="I6" i="4"/>
  <c r="I10" i="4" s="1"/>
  <c r="X53" i="3"/>
  <c r="W53" i="3"/>
  <c r="U53" i="3"/>
  <c r="S53" i="3"/>
  <c r="Q53" i="3"/>
  <c r="P53" i="3"/>
  <c r="M53" i="3"/>
  <c r="L53" i="3"/>
  <c r="K53" i="3"/>
  <c r="J53" i="3"/>
  <c r="H53" i="3"/>
  <c r="G53" i="3"/>
  <c r="F53" i="3"/>
  <c r="E53" i="3"/>
  <c r="Z50" i="3"/>
  <c r="Y50" i="3"/>
  <c r="X50" i="3"/>
  <c r="W50" i="3"/>
  <c r="V50" i="3"/>
  <c r="U50" i="3"/>
  <c r="T50" i="3"/>
  <c r="R50" i="3"/>
  <c r="Q50" i="3"/>
  <c r="P50" i="3"/>
  <c r="O50" i="3"/>
  <c r="N50" i="3"/>
  <c r="M50" i="3"/>
  <c r="L50" i="3"/>
  <c r="K50" i="3"/>
  <c r="J50" i="3"/>
  <c r="H50" i="3"/>
  <c r="G50" i="3"/>
  <c r="F50" i="3"/>
  <c r="E50" i="3"/>
  <c r="D50" i="3"/>
  <c r="Z45" i="3"/>
  <c r="X45" i="3"/>
  <c r="W45" i="3"/>
  <c r="V45" i="3"/>
  <c r="U45" i="3"/>
  <c r="S45" i="3"/>
  <c r="R45" i="3"/>
  <c r="Q45" i="3"/>
  <c r="P45" i="3"/>
  <c r="N45" i="3"/>
  <c r="M45" i="3"/>
  <c r="L45" i="3"/>
  <c r="K45" i="3"/>
  <c r="I45" i="3"/>
  <c r="H45" i="3"/>
  <c r="G45" i="3"/>
  <c r="F45" i="3"/>
  <c r="Y43" i="3"/>
  <c r="T43" i="3"/>
  <c r="O43" i="3"/>
  <c r="J43" i="3"/>
  <c r="E43" i="3"/>
  <c r="Z41" i="3"/>
  <c r="X41" i="3"/>
  <c r="W41" i="3"/>
  <c r="V41" i="3"/>
  <c r="U41" i="3"/>
  <c r="S41" i="3"/>
  <c r="R41" i="3"/>
  <c r="Q41" i="3"/>
  <c r="P41" i="3"/>
  <c r="N41" i="3"/>
  <c r="M41" i="3"/>
  <c r="L41" i="3"/>
  <c r="K41" i="3"/>
  <c r="I41" i="3"/>
  <c r="H41" i="3"/>
  <c r="G41" i="3"/>
  <c r="F41" i="3"/>
  <c r="Y39" i="3"/>
  <c r="T39" i="3"/>
  <c r="O39" i="3"/>
  <c r="J39" i="3"/>
  <c r="E39" i="3"/>
  <c r="D39" i="3"/>
  <c r="Z38" i="3"/>
  <c r="X38" i="3"/>
  <c r="W38" i="3"/>
  <c r="V38" i="3"/>
  <c r="U38" i="3"/>
  <c r="S38" i="3"/>
  <c r="R38" i="3"/>
  <c r="Q38" i="3"/>
  <c r="P38" i="3"/>
  <c r="N38" i="3"/>
  <c r="M38" i="3"/>
  <c r="L38" i="3"/>
  <c r="K38" i="3"/>
  <c r="I38" i="3"/>
  <c r="H38" i="3"/>
  <c r="G38" i="3"/>
  <c r="F38" i="3"/>
  <c r="Z35" i="3"/>
  <c r="Z32" i="3" s="1"/>
  <c r="X35" i="3"/>
  <c r="X32" i="3" s="1"/>
  <c r="W35" i="3"/>
  <c r="V35" i="3"/>
  <c r="U35" i="3"/>
  <c r="R35" i="3"/>
  <c r="Q35" i="3"/>
  <c r="P35" i="3"/>
  <c r="M35" i="3"/>
  <c r="L35" i="3"/>
  <c r="K35" i="3"/>
  <c r="I35" i="3"/>
  <c r="H35" i="3"/>
  <c r="G35" i="3"/>
  <c r="F35" i="3"/>
  <c r="Y32" i="3"/>
  <c r="U32" i="3"/>
  <c r="T32" i="3"/>
  <c r="Q32" i="3"/>
  <c r="O32" i="3"/>
  <c r="K32" i="3"/>
  <c r="J32" i="3"/>
  <c r="G32" i="3"/>
  <c r="E32" i="3"/>
  <c r="D32" i="3"/>
  <c r="Z28" i="3"/>
  <c r="X28" i="3"/>
  <c r="W28" i="3"/>
  <c r="V28" i="3"/>
  <c r="U28" i="3"/>
  <c r="S28" i="3"/>
  <c r="R28" i="3"/>
  <c r="Q28" i="3"/>
  <c r="P28" i="3"/>
  <c r="N28" i="3"/>
  <c r="M28" i="3"/>
  <c r="L28" i="3"/>
  <c r="K28" i="3"/>
  <c r="I28" i="3"/>
  <c r="H28" i="3"/>
  <c r="G28" i="3"/>
  <c r="F28" i="3"/>
  <c r="Y26" i="3"/>
  <c r="T26" i="3"/>
  <c r="O26" i="3"/>
  <c r="J26" i="3"/>
  <c r="E26" i="3"/>
  <c r="Z25" i="3"/>
  <c r="Z42" i="3" s="1"/>
  <c r="X25" i="3"/>
  <c r="AC25" i="3" s="1"/>
  <c r="W25" i="3"/>
  <c r="V25" i="3"/>
  <c r="AA25" i="3" s="1"/>
  <c r="U25" i="3"/>
  <c r="S25" i="3"/>
  <c r="R25" i="3"/>
  <c r="Q25" i="3"/>
  <c r="P25" i="3"/>
  <c r="P42" i="3" s="1"/>
  <c r="N25" i="3"/>
  <c r="M25" i="3"/>
  <c r="L25" i="3"/>
  <c r="K25" i="3"/>
  <c r="K42" i="3" s="1"/>
  <c r="I25" i="3"/>
  <c r="H25" i="3"/>
  <c r="H42" i="3" s="1"/>
  <c r="G25" i="3"/>
  <c r="G42" i="3" s="1"/>
  <c r="F25" i="3"/>
  <c r="F42" i="3" s="1"/>
  <c r="Y23" i="3"/>
  <c r="T23" i="3"/>
  <c r="O23" i="3"/>
  <c r="J23" i="3"/>
  <c r="E23" i="3"/>
  <c r="X22" i="3"/>
  <c r="W22" i="3"/>
  <c r="V22" i="3"/>
  <c r="U39" i="3"/>
  <c r="S22" i="3"/>
  <c r="R22" i="3"/>
  <c r="R39" i="3" s="1"/>
  <c r="Q22" i="3"/>
  <c r="P22" i="3"/>
  <c r="N22" i="3"/>
  <c r="N39" i="3" s="1"/>
  <c r="M22" i="3"/>
  <c r="L22" i="3"/>
  <c r="K22" i="3"/>
  <c r="K39" i="3" s="1"/>
  <c r="H22" i="3"/>
  <c r="G22" i="3"/>
  <c r="F22" i="3"/>
  <c r="Y20" i="3"/>
  <c r="Y36" i="3" s="1"/>
  <c r="T20" i="3"/>
  <c r="T36" i="3" s="1"/>
  <c r="O20" i="3"/>
  <c r="O36" i="3" s="1"/>
  <c r="J20" i="3"/>
  <c r="J36" i="3" s="1"/>
  <c r="E20" i="3"/>
  <c r="E36" i="3" s="1"/>
  <c r="D20" i="3"/>
  <c r="D36" i="3" s="1"/>
  <c r="T18" i="3"/>
  <c r="O18" i="3"/>
  <c r="J18" i="3"/>
  <c r="E18" i="3"/>
  <c r="X17" i="3"/>
  <c r="W17" i="3"/>
  <c r="V17" i="3"/>
  <c r="U17" i="3"/>
  <c r="S17" i="3"/>
  <c r="R17" i="3"/>
  <c r="Q17" i="3"/>
  <c r="V18" i="3" s="1"/>
  <c r="P17" i="3"/>
  <c r="N17" i="3"/>
  <c r="M17" i="3"/>
  <c r="L17" i="3"/>
  <c r="K17" i="3"/>
  <c r="I17" i="3"/>
  <c r="H17" i="3"/>
  <c r="G17" i="3"/>
  <c r="F17" i="3"/>
  <c r="Y15" i="3"/>
  <c r="T15" i="3"/>
  <c r="O15" i="3"/>
  <c r="J15" i="3"/>
  <c r="E15" i="3"/>
  <c r="Z14" i="3"/>
  <c r="X14" i="3"/>
  <c r="W14" i="3"/>
  <c r="V14" i="3"/>
  <c r="U14" i="3"/>
  <c r="Z15" i="3" s="1"/>
  <c r="S14" i="3"/>
  <c r="R14" i="3"/>
  <c r="Q14" i="3"/>
  <c r="P14" i="3"/>
  <c r="N14" i="3"/>
  <c r="M14" i="3"/>
  <c r="L14" i="3"/>
  <c r="K14" i="3"/>
  <c r="I14" i="3"/>
  <c r="H14" i="3"/>
  <c r="G14" i="3"/>
  <c r="F14" i="3"/>
  <c r="Y12" i="3"/>
  <c r="T12" i="3"/>
  <c r="O12" i="3"/>
  <c r="J12" i="3"/>
  <c r="E12" i="3"/>
  <c r="Z11" i="3"/>
  <c r="X11" i="3"/>
  <c r="W11" i="3"/>
  <c r="V11" i="3"/>
  <c r="U11" i="3"/>
  <c r="S11" i="3"/>
  <c r="R11" i="3"/>
  <c r="Q11" i="3"/>
  <c r="P11" i="3"/>
  <c r="N11" i="3"/>
  <c r="M11" i="3"/>
  <c r="L11" i="3"/>
  <c r="K11" i="3"/>
  <c r="I11" i="3"/>
  <c r="H11" i="3"/>
  <c r="G11" i="3"/>
  <c r="F11" i="3"/>
  <c r="T9" i="3"/>
  <c r="O9" i="3"/>
  <c r="J9" i="3"/>
  <c r="E9" i="3"/>
  <c r="Z8" i="3"/>
  <c r="Z6" i="3" s="1"/>
  <c r="W8" i="3"/>
  <c r="V8" i="3"/>
  <c r="U8" i="3"/>
  <c r="R8" i="3"/>
  <c r="W9" i="3" s="1"/>
  <c r="Q8" i="3"/>
  <c r="P8" i="3"/>
  <c r="N8" i="3"/>
  <c r="M8" i="3"/>
  <c r="L8" i="3"/>
  <c r="K8" i="3"/>
  <c r="I8" i="3"/>
  <c r="H8" i="3"/>
  <c r="M9" i="3" s="1"/>
  <c r="G8" i="3"/>
  <c r="F8" i="3"/>
  <c r="Y6" i="3"/>
  <c r="V6" i="3"/>
  <c r="U6" i="3"/>
  <c r="U48" i="3" s="1"/>
  <c r="U51" i="3" s="1"/>
  <c r="T6" i="3"/>
  <c r="O6" i="3"/>
  <c r="O29" i="3" s="1"/>
  <c r="M6" i="3"/>
  <c r="J6" i="3"/>
  <c r="J48" i="3" s="1"/>
  <c r="J51" i="3" s="1"/>
  <c r="F6" i="3"/>
  <c r="E6" i="3"/>
  <c r="D6" i="3"/>
  <c r="O1" i="1"/>
  <c r="N1" i="1"/>
  <c r="M1" i="1"/>
  <c r="L1" i="1"/>
  <c r="K1" i="1"/>
  <c r="J1" i="1"/>
  <c r="I1" i="1"/>
  <c r="H1" i="1"/>
  <c r="G1" i="1"/>
  <c r="F1" i="1"/>
  <c r="E1" i="1"/>
  <c r="D1" i="1"/>
  <c r="C1" i="1"/>
  <c r="B1" i="1"/>
  <c r="G34" i="11" l="1"/>
  <c r="G27" i="11"/>
  <c r="K66" i="2"/>
  <c r="K67" i="2" s="1"/>
  <c r="J66" i="2"/>
  <c r="J67" i="2" s="1"/>
  <c r="I66" i="2"/>
  <c r="I67" i="2" s="1"/>
  <c r="H66" i="2"/>
  <c r="H67" i="2" s="1"/>
  <c r="G66" i="2"/>
  <c r="G67" i="2" s="1"/>
  <c r="F66" i="2"/>
  <c r="F67" i="2" s="1"/>
  <c r="E66" i="2"/>
  <c r="E67" i="2" s="1"/>
  <c r="D66" i="2"/>
  <c r="D67" i="2" s="1"/>
  <c r="K64" i="2"/>
  <c r="J64" i="2"/>
  <c r="I64" i="2"/>
  <c r="H64" i="2"/>
  <c r="G64" i="2"/>
  <c r="E64" i="2"/>
  <c r="D64" i="2"/>
  <c r="AN22" i="2"/>
  <c r="P6" i="2" s="1"/>
  <c r="AN23" i="2"/>
  <c r="P7" i="2" s="1"/>
  <c r="AN24" i="2"/>
  <c r="P8" i="2" s="1"/>
  <c r="H26" i="2"/>
  <c r="H27" i="2" s="1"/>
  <c r="AN25" i="2"/>
  <c r="P9" i="2" s="1"/>
  <c r="E42" i="2"/>
  <c r="E43" i="2" s="1"/>
  <c r="F42" i="2"/>
  <c r="F43" i="2" s="1"/>
  <c r="H42" i="2"/>
  <c r="H43" i="2" s="1"/>
  <c r="E50" i="2"/>
  <c r="E51" i="2" s="1"/>
  <c r="F50" i="2"/>
  <c r="F51" i="2" s="1"/>
  <c r="H50" i="2"/>
  <c r="H51" i="2" s="1"/>
  <c r="E59" i="2"/>
  <c r="E58" i="2"/>
  <c r="H59" i="2"/>
  <c r="H58" i="2"/>
  <c r="AD68" i="7"/>
  <c r="AA68" i="7"/>
  <c r="AE68" i="7" s="1"/>
  <c r="X68" i="7"/>
  <c r="AD65" i="7"/>
  <c r="AA65" i="7"/>
  <c r="AE65" i="7" s="1"/>
  <c r="X65" i="7"/>
  <c r="AD62" i="7"/>
  <c r="AA62" i="7"/>
  <c r="X62" i="7"/>
  <c r="AA54" i="7"/>
  <c r="AE54" i="7" s="1"/>
  <c r="X54" i="7"/>
  <c r="AB14" i="23"/>
  <c r="X14" i="23"/>
  <c r="W14" i="23"/>
  <c r="V13" i="23"/>
  <c r="T13" i="23"/>
  <c r="T14" i="23" s="1"/>
  <c r="S13" i="23"/>
  <c r="S14" i="23" s="1"/>
  <c r="R13" i="23"/>
  <c r="R14" i="23" s="1"/>
  <c r="Q13" i="23"/>
  <c r="O13" i="23"/>
  <c r="O14" i="23" s="1"/>
  <c r="N13" i="23"/>
  <c r="N14" i="23" s="1"/>
  <c r="M13" i="23"/>
  <c r="M14" i="23" s="1"/>
  <c r="L13" i="23"/>
  <c r="J13" i="23"/>
  <c r="J14" i="23" s="1"/>
  <c r="I13" i="23"/>
  <c r="I14" i="23" s="1"/>
  <c r="H13" i="23"/>
  <c r="H14" i="23" s="1"/>
  <c r="G13" i="23"/>
  <c r="F13" i="23"/>
  <c r="F14" i="23" s="1"/>
  <c r="E13" i="23"/>
  <c r="E14" i="23" s="1"/>
  <c r="AI23" i="4"/>
  <c r="O45" i="7"/>
  <c r="T45" i="7"/>
  <c r="T51" i="7" s="1"/>
  <c r="V16" i="5"/>
  <c r="V8" i="5" s="1"/>
  <c r="Z15" i="5"/>
  <c r="W42" i="3"/>
  <c r="AB25" i="3"/>
  <c r="AA42" i="3"/>
  <c r="AB42" i="3" s="1"/>
  <c r="AC42" i="3" s="1"/>
  <c r="AD42" i="3"/>
  <c r="AE42" i="3" s="1"/>
  <c r="AF42" i="3" s="1"/>
  <c r="AG42" i="3" s="1"/>
  <c r="AH42" i="3" s="1"/>
  <c r="AI42" i="3" s="1"/>
  <c r="Z23" i="3"/>
  <c r="AE15" i="3"/>
  <c r="AA15" i="3"/>
  <c r="AB15" i="3"/>
  <c r="AC15" i="3"/>
  <c r="AF15" i="3"/>
  <c r="O39" i="14"/>
  <c r="O44" i="14"/>
  <c r="O34" i="14"/>
  <c r="O30" i="14"/>
  <c r="O25" i="14"/>
  <c r="O22" i="14"/>
  <c r="Q39" i="14"/>
  <c r="Q44" i="14"/>
  <c r="Q34" i="14"/>
  <c r="Q30" i="14"/>
  <c r="Q25" i="14"/>
  <c r="Q22" i="14"/>
  <c r="P39" i="14"/>
  <c r="P44" i="14"/>
  <c r="P34" i="14"/>
  <c r="P30" i="14"/>
  <c r="P25" i="14"/>
  <c r="P22" i="14"/>
  <c r="K39" i="14"/>
  <c r="K44" i="14"/>
  <c r="K34" i="14"/>
  <c r="K30" i="14"/>
  <c r="K25" i="14"/>
  <c r="K22" i="14"/>
  <c r="M39" i="14"/>
  <c r="M44" i="14"/>
  <c r="M34" i="14"/>
  <c r="M30" i="14"/>
  <c r="M25" i="14"/>
  <c r="M22" i="14"/>
  <c r="L39" i="14"/>
  <c r="L44" i="14"/>
  <c r="L34" i="14"/>
  <c r="L30" i="14"/>
  <c r="L25" i="14"/>
  <c r="L22" i="14"/>
  <c r="G39" i="14"/>
  <c r="G44" i="14"/>
  <c r="G34" i="14"/>
  <c r="G30" i="14"/>
  <c r="G25" i="14"/>
  <c r="G22" i="14"/>
  <c r="H39" i="14"/>
  <c r="H44" i="14"/>
  <c r="H34" i="14"/>
  <c r="H30" i="14"/>
  <c r="H25" i="14"/>
  <c r="H22" i="14"/>
  <c r="I39" i="14"/>
  <c r="I44" i="14"/>
  <c r="I34" i="14"/>
  <c r="I30" i="14"/>
  <c r="I25" i="14"/>
  <c r="I22" i="14"/>
  <c r="I51" i="14"/>
  <c r="H51" i="14"/>
  <c r="K51" i="14"/>
  <c r="L51" i="14"/>
  <c r="M51" i="14"/>
  <c r="O51" i="14"/>
  <c r="P51" i="14"/>
  <c r="Q51" i="14"/>
  <c r="G51" i="14"/>
  <c r="O27" i="11"/>
  <c r="N27" i="11"/>
  <c r="M27" i="11"/>
  <c r="L27" i="11"/>
  <c r="K27" i="11"/>
  <c r="J27" i="11"/>
  <c r="J29" i="11"/>
  <c r="AF18" i="3"/>
  <c r="AF39" i="3"/>
  <c r="AC39" i="3"/>
  <c r="AB39" i="3"/>
  <c r="AC36" i="3"/>
  <c r="T48" i="3"/>
  <c r="T46" i="3"/>
  <c r="Y48" i="3"/>
  <c r="Y46" i="3"/>
  <c r="Y29" i="3"/>
  <c r="K9" i="3"/>
  <c r="L9" i="3"/>
  <c r="N9" i="3"/>
  <c r="P9" i="3"/>
  <c r="Q9" i="3"/>
  <c r="V9" i="3"/>
  <c r="K6" i="3"/>
  <c r="K48" i="3" s="1"/>
  <c r="L12" i="3"/>
  <c r="M12" i="3"/>
  <c r="N6" i="3"/>
  <c r="P20" i="3"/>
  <c r="Q12" i="3"/>
  <c r="R12" i="3"/>
  <c r="S12" i="3"/>
  <c r="U12" i="3"/>
  <c r="V12" i="3"/>
  <c r="W12" i="3"/>
  <c r="X12" i="3"/>
  <c r="G6" i="3"/>
  <c r="K20" i="3"/>
  <c r="K36" i="3" s="1"/>
  <c r="L15" i="3"/>
  <c r="M15" i="3"/>
  <c r="N15" i="3"/>
  <c r="P15" i="3"/>
  <c r="Q15" i="3"/>
  <c r="R15" i="3"/>
  <c r="S15" i="3"/>
  <c r="V15" i="3"/>
  <c r="X15" i="3"/>
  <c r="F20" i="3"/>
  <c r="G20" i="3"/>
  <c r="H20" i="3"/>
  <c r="I20" i="3"/>
  <c r="K18" i="3"/>
  <c r="L20" i="3"/>
  <c r="M18" i="3"/>
  <c r="N20" i="3"/>
  <c r="N18" i="3"/>
  <c r="P18" i="3"/>
  <c r="R18" i="3"/>
  <c r="S18" i="3"/>
  <c r="U18" i="3"/>
  <c r="V20" i="3"/>
  <c r="V36" i="3" s="1"/>
  <c r="W18" i="3"/>
  <c r="Z20" i="3"/>
  <c r="Z18" i="3"/>
  <c r="L23" i="3"/>
  <c r="M39" i="3"/>
  <c r="M23" i="3"/>
  <c r="P23" i="3"/>
  <c r="Q23" i="3"/>
  <c r="S23" i="3"/>
  <c r="V23" i="3"/>
  <c r="W23" i="3"/>
  <c r="X23" i="3"/>
  <c r="K43" i="3"/>
  <c r="L26" i="3"/>
  <c r="M42" i="3"/>
  <c r="M43" i="3" s="1"/>
  <c r="M26" i="3"/>
  <c r="N26" i="3"/>
  <c r="N42" i="3"/>
  <c r="Q26" i="3"/>
  <c r="Q42" i="3"/>
  <c r="R26" i="3"/>
  <c r="U26" i="3"/>
  <c r="X26" i="3"/>
  <c r="X42" i="3"/>
  <c r="F29" i="3"/>
  <c r="V29" i="3"/>
  <c r="D33" i="3"/>
  <c r="E33" i="3"/>
  <c r="O33" i="3"/>
  <c r="U33" i="3"/>
  <c r="Z33" i="3"/>
  <c r="Z36" i="3"/>
  <c r="F39" i="3"/>
  <c r="G39" i="3"/>
  <c r="H39" i="3"/>
  <c r="P39" i="3"/>
  <c r="Q39" i="3"/>
  <c r="S39" i="3"/>
  <c r="V39" i="3"/>
  <c r="W39" i="3"/>
  <c r="Z39" i="3"/>
  <c r="I32" i="3"/>
  <c r="M32" i="3"/>
  <c r="N46" i="3"/>
  <c r="W32" i="3"/>
  <c r="T51" i="3"/>
  <c r="Y51" i="3"/>
  <c r="J45" i="7"/>
  <c r="N10" i="4"/>
  <c r="N17" i="4" s="1"/>
  <c r="S10" i="4"/>
  <c r="S17" i="4" s="1"/>
  <c r="F17" i="4"/>
  <c r="I12" i="4"/>
  <c r="D33" i="4"/>
  <c r="D35" i="4"/>
  <c r="J35" i="4"/>
  <c r="J33" i="4"/>
  <c r="O35" i="4"/>
  <c r="O33" i="4"/>
  <c r="T33" i="4"/>
  <c r="T35" i="4"/>
  <c r="Y35" i="4"/>
  <c r="Y33" i="4"/>
  <c r="T38" i="4"/>
  <c r="Y38" i="4"/>
  <c r="Q41" i="4"/>
  <c r="V41" i="4"/>
  <c r="W41" i="4"/>
  <c r="X41" i="4"/>
  <c r="Y41" i="4"/>
  <c r="K13" i="5"/>
  <c r="P13" i="5"/>
  <c r="D16" i="5"/>
  <c r="D8" i="5" s="1"/>
  <c r="F16" i="5"/>
  <c r="F8" i="5" s="1"/>
  <c r="I16" i="5"/>
  <c r="I8" i="5" s="1"/>
  <c r="N16" i="5"/>
  <c r="N8" i="5" s="1"/>
  <c r="J10" i="5"/>
  <c r="P10" i="5"/>
  <c r="G19" i="5"/>
  <c r="V19" i="5"/>
  <c r="J9" i="7"/>
  <c r="J50" i="7"/>
  <c r="J51" i="7" s="1"/>
  <c r="O51" i="7"/>
  <c r="Q42" i="7"/>
  <c r="Q50" i="7"/>
  <c r="Q51" i="7" s="1"/>
  <c r="R42" i="7"/>
  <c r="R50" i="7"/>
  <c r="R51" i="7" s="1"/>
  <c r="J7" i="7"/>
  <c r="Q14" i="7"/>
  <c r="Q7" i="7" s="1"/>
  <c r="R14" i="7"/>
  <c r="R7" i="7" s="1"/>
  <c r="L14" i="7"/>
  <c r="L7" i="7" s="1"/>
  <c r="J23" i="7"/>
  <c r="J64" i="7"/>
  <c r="J65" i="7" s="1"/>
  <c r="V59" i="7"/>
  <c r="W59" i="7" s="1"/>
  <c r="G23" i="7"/>
  <c r="G67" i="7"/>
  <c r="G68" i="7" s="1"/>
  <c r="L10" i="5"/>
  <c r="J29" i="7"/>
  <c r="S29" i="7"/>
  <c r="T10" i="5"/>
  <c r="N29" i="7"/>
  <c r="H29" i="7"/>
  <c r="U40" i="7"/>
  <c r="U4" i="7" s="1"/>
  <c r="J35" i="7"/>
  <c r="L35" i="7"/>
  <c r="V35" i="7"/>
  <c r="F43" i="7"/>
  <c r="F10" i="8" s="1"/>
  <c r="K43" i="7"/>
  <c r="K10" i="8" s="1"/>
  <c r="P43" i="7"/>
  <c r="P10" i="8" s="1"/>
  <c r="P7" i="8" s="1"/>
  <c r="U43" i="7"/>
  <c r="U10" i="8" s="1"/>
  <c r="U7" i="8" s="1"/>
  <c r="G65" i="7"/>
  <c r="D51" i="7"/>
  <c r="F51" i="7"/>
  <c r="D54" i="7"/>
  <c r="E54" i="7"/>
  <c r="F54" i="7"/>
  <c r="K54" i="7"/>
  <c r="U54" i="7"/>
  <c r="D62" i="7"/>
  <c r="F62" i="7"/>
  <c r="K62" i="7"/>
  <c r="P62" i="7"/>
  <c r="F65" i="7"/>
  <c r="K65" i="7"/>
  <c r="D68" i="7"/>
  <c r="K68" i="7"/>
  <c r="G15" i="8"/>
  <c r="H15" i="8"/>
  <c r="D31" i="8"/>
  <c r="E32" i="8" s="1"/>
  <c r="I20" i="8"/>
  <c r="N20" i="8"/>
  <c r="E48" i="9"/>
  <c r="F47" i="9" s="1"/>
  <c r="F48" i="9" s="1"/>
  <c r="K47" i="9" s="1"/>
  <c r="K48" i="9" s="1"/>
  <c r="P47" i="9" s="1"/>
  <c r="P48" i="9" s="1"/>
  <c r="U47" i="9" s="1"/>
  <c r="U48" i="9" s="1"/>
  <c r="N9" i="9"/>
  <c r="S9" i="9"/>
  <c r="M9" i="9"/>
  <c r="G9" i="9"/>
  <c r="Q9" i="9"/>
  <c r="H15" i="9"/>
  <c r="R15" i="9"/>
  <c r="V15" i="9"/>
  <c r="V33" i="9"/>
  <c r="J33" i="9"/>
  <c r="Q42" i="9"/>
  <c r="S42" i="9"/>
  <c r="M42" i="9"/>
  <c r="S12" i="14"/>
  <c r="U12" i="14"/>
  <c r="U10" i="14"/>
  <c r="S10" i="14"/>
  <c r="S8" i="14"/>
  <c r="T7" i="14"/>
  <c r="Y12" i="14"/>
  <c r="Y10" i="14"/>
  <c r="W8" i="14"/>
  <c r="G48" i="16"/>
  <c r="G31" i="16"/>
  <c r="N11" i="16"/>
  <c r="O11" i="16"/>
  <c r="P11" i="16" s="1"/>
  <c r="Q11" i="16" s="1"/>
  <c r="M28" i="16"/>
  <c r="H35" i="16"/>
  <c r="I35" i="16"/>
  <c r="J35" i="16"/>
  <c r="L35" i="16"/>
  <c r="M45" i="16"/>
  <c r="O14" i="17"/>
  <c r="O17" i="17" s="1"/>
  <c r="W14" i="17"/>
  <c r="W17" i="17" s="1"/>
  <c r="G13" i="18"/>
  <c r="G23" i="18" s="1"/>
  <c r="G17" i="18"/>
  <c r="P5" i="18"/>
  <c r="S8" i="3" s="1"/>
  <c r="S6" i="3" s="1"/>
  <c r="Q9" i="18"/>
  <c r="Q13" i="18" s="1"/>
  <c r="C13" i="18"/>
  <c r="C23" i="18" s="1"/>
  <c r="C17" i="18"/>
  <c r="D17" i="18"/>
  <c r="D13" i="18"/>
  <c r="D23" i="18" s="1"/>
  <c r="E17" i="18"/>
  <c r="E13" i="18"/>
  <c r="E23" i="18" s="1"/>
  <c r="H17" i="18"/>
  <c r="H13" i="18"/>
  <c r="H23" i="18" s="1"/>
  <c r="M17" i="18"/>
  <c r="M13" i="18"/>
  <c r="M23" i="18" s="1"/>
  <c r="O13" i="18"/>
  <c r="O23" i="18" s="1"/>
  <c r="O17" i="18"/>
  <c r="S13" i="18"/>
  <c r="S23" i="18" s="1"/>
  <c r="S17" i="18"/>
  <c r="T17" i="18"/>
  <c r="T13" i="18"/>
  <c r="T23" i="18" s="1"/>
  <c r="W13" i="18"/>
  <c r="W23" i="18" s="1"/>
  <c r="W17" i="18"/>
  <c r="G6" i="19"/>
  <c r="G4" i="19" s="1"/>
  <c r="O6" i="19"/>
  <c r="O4" i="19" s="1"/>
  <c r="M12" i="21"/>
  <c r="Q16" i="8" s="1"/>
  <c r="Q15" i="8" s="1"/>
  <c r="K12" i="21"/>
  <c r="O16" i="8" s="1"/>
  <c r="H13" i="21"/>
  <c r="L17" i="8" s="1"/>
  <c r="L15" i="8" s="1"/>
  <c r="F13" i="21"/>
  <c r="J17" i="8" s="1"/>
  <c r="J13" i="19"/>
  <c r="J6" i="19" s="1"/>
  <c r="J40" i="19"/>
  <c r="N22" i="19"/>
  <c r="C20" i="19"/>
  <c r="C38" i="19" s="1"/>
  <c r="C4" i="19" s="1"/>
  <c r="K20" i="19"/>
  <c r="K38" i="19" s="1"/>
  <c r="K4" i="19" s="1"/>
  <c r="R17" i="21"/>
  <c r="V22" i="8" s="1"/>
  <c r="P17" i="21"/>
  <c r="T22" i="8" s="1"/>
  <c r="H17" i="21"/>
  <c r="L22" i="8" s="1"/>
  <c r="L20" i="8" s="1"/>
  <c r="J28" i="19"/>
  <c r="J20" i="19" s="1"/>
  <c r="J38" i="19" s="1"/>
  <c r="N28" i="19"/>
  <c r="H15" i="21"/>
  <c r="K16" i="21"/>
  <c r="O21" i="8" s="1"/>
  <c r="M16" i="21"/>
  <c r="Q21" i="8" s="1"/>
  <c r="Q20" i="8" s="1"/>
  <c r="R15" i="21"/>
  <c r="D41" i="19"/>
  <c r="E41" i="19"/>
  <c r="H41" i="19"/>
  <c r="I41" i="19"/>
  <c r="L41" i="19"/>
  <c r="M41" i="19"/>
  <c r="L7" i="20"/>
  <c r="J21" i="20"/>
  <c r="J43" i="20" s="1"/>
  <c r="G13" i="20"/>
  <c r="L40" i="20"/>
  <c r="Q40" i="20"/>
  <c r="E11" i="21"/>
  <c r="N11" i="21"/>
  <c r="O11" i="21"/>
  <c r="E15" i="21"/>
  <c r="O15" i="21"/>
  <c r="J15" i="21"/>
  <c r="S29" i="3"/>
  <c r="N25" i="4"/>
  <c r="N43" i="4"/>
  <c r="N44" i="4" s="1"/>
  <c r="Z43" i="4"/>
  <c r="Z44" i="4" s="1"/>
  <c r="Z25" i="4"/>
  <c r="N29" i="3"/>
  <c r="K33" i="3"/>
  <c r="R25" i="4"/>
  <c r="R43" i="4"/>
  <c r="R44" i="4" s="1"/>
  <c r="Z46" i="3"/>
  <c r="Z48" i="3"/>
  <c r="Z51" i="3" s="1"/>
  <c r="Z29" i="3"/>
  <c r="S25" i="4"/>
  <c r="S43" i="4"/>
  <c r="S44" i="4" s="1"/>
  <c r="K43" i="4"/>
  <c r="K44" i="4" s="1"/>
  <c r="K25" i="4"/>
  <c r="F43" i="4"/>
  <c r="F44" i="4" s="1"/>
  <c r="F25" i="4"/>
  <c r="K29" i="3"/>
  <c r="U43" i="4"/>
  <c r="U44" i="4" s="1"/>
  <c r="U25" i="4"/>
  <c r="G46" i="3"/>
  <c r="G48" i="3"/>
  <c r="K54" i="3"/>
  <c r="AF36" i="3"/>
  <c r="D48" i="3"/>
  <c r="D51" i="3" s="1"/>
  <c r="L6" i="3"/>
  <c r="N12" i="3"/>
  <c r="K15" i="3"/>
  <c r="X18" i="3"/>
  <c r="Q20" i="3"/>
  <c r="I42" i="3"/>
  <c r="N43" i="3" s="1"/>
  <c r="S42" i="3"/>
  <c r="S43" i="3" s="1"/>
  <c r="K26" i="3"/>
  <c r="S26" i="3"/>
  <c r="G29" i="3"/>
  <c r="D29" i="3"/>
  <c r="Y33" i="3"/>
  <c r="J46" i="3"/>
  <c r="K51" i="3"/>
  <c r="N7" i="4"/>
  <c r="S38" i="4"/>
  <c r="T41" i="4"/>
  <c r="Q18" i="3"/>
  <c r="X39" i="3"/>
  <c r="M46" i="3"/>
  <c r="O48" i="3"/>
  <c r="O51" i="3" s="1"/>
  <c r="M43" i="4"/>
  <c r="M44" i="4" s="1"/>
  <c r="M25" i="4"/>
  <c r="V17" i="4"/>
  <c r="U41" i="4"/>
  <c r="R9" i="3"/>
  <c r="S9" i="3"/>
  <c r="P12" i="3"/>
  <c r="U15" i="3"/>
  <c r="S20" i="3"/>
  <c r="L42" i="3"/>
  <c r="L43" i="3" s="1"/>
  <c r="V42" i="3"/>
  <c r="V43" i="3" s="1"/>
  <c r="V26" i="3"/>
  <c r="F32" i="3"/>
  <c r="P32" i="3"/>
  <c r="P36" i="3"/>
  <c r="X7" i="4"/>
  <c r="J55" i="16"/>
  <c r="J56" i="16" s="1"/>
  <c r="K47" i="7"/>
  <c r="K59" i="7" s="1"/>
  <c r="O53" i="3"/>
  <c r="H43" i="4"/>
  <c r="H44" i="4" s="1"/>
  <c r="H25" i="4"/>
  <c r="E46" i="3"/>
  <c r="E29" i="3"/>
  <c r="W6" i="3"/>
  <c r="W26" i="3"/>
  <c r="U29" i="3"/>
  <c r="G33" i="3"/>
  <c r="R32" i="3"/>
  <c r="G36" i="3"/>
  <c r="Q36" i="3"/>
  <c r="R42" i="3"/>
  <c r="R43" i="3" s="1"/>
  <c r="O46" i="3"/>
  <c r="E48" i="3"/>
  <c r="E51" i="3" s="1"/>
  <c r="J54" i="3"/>
  <c r="W17" i="4"/>
  <c r="L55" i="16"/>
  <c r="Y53" i="3"/>
  <c r="Y54" i="3" s="1"/>
  <c r="U47" i="7"/>
  <c r="P4" i="7"/>
  <c r="T23" i="7"/>
  <c r="T42" i="7"/>
  <c r="T64" i="7"/>
  <c r="T65" i="7" s="1"/>
  <c r="N58" i="7"/>
  <c r="N59" i="7" s="1"/>
  <c r="N23" i="7"/>
  <c r="N21" i="7" s="1"/>
  <c r="E68" i="7"/>
  <c r="E62" i="7"/>
  <c r="R20" i="3"/>
  <c r="R36" i="3" s="1"/>
  <c r="H6" i="3"/>
  <c r="P6" i="3"/>
  <c r="P29" i="3" s="1"/>
  <c r="U9" i="3"/>
  <c r="Z12" i="3"/>
  <c r="W15" i="3"/>
  <c r="L18" i="3"/>
  <c r="M20" i="3"/>
  <c r="M36" i="3" s="1"/>
  <c r="U20" i="3"/>
  <c r="U36" i="3" s="1"/>
  <c r="R23" i="3"/>
  <c r="J29" i="3"/>
  <c r="T29" i="3"/>
  <c r="H32" i="3"/>
  <c r="F36" i="3"/>
  <c r="U42" i="3"/>
  <c r="D46" i="3"/>
  <c r="U54" i="3"/>
  <c r="G17" i="4"/>
  <c r="X10" i="4"/>
  <c r="X17" i="4" s="1"/>
  <c r="M47" i="7"/>
  <c r="M59" i="7" s="1"/>
  <c r="Q17" i="4"/>
  <c r="L17" i="4"/>
  <c r="E33" i="4"/>
  <c r="E35" i="4"/>
  <c r="I9" i="7"/>
  <c r="I7" i="7" s="1"/>
  <c r="I50" i="7"/>
  <c r="I51" i="7" s="1"/>
  <c r="S42" i="7"/>
  <c r="S50" i="7"/>
  <c r="S51" i="7" s="1"/>
  <c r="S9" i="7"/>
  <c r="S7" i="7" s="1"/>
  <c r="L64" i="7"/>
  <c r="L65" i="7" s="1"/>
  <c r="L23" i="7"/>
  <c r="L21" i="7" s="1"/>
  <c r="L40" i="7" s="1"/>
  <c r="L4" i="7" s="1"/>
  <c r="V64" i="7"/>
  <c r="V65" i="7" s="1"/>
  <c r="V23" i="7"/>
  <c r="V21" i="7" s="1"/>
  <c r="O59" i="7"/>
  <c r="S61" i="7"/>
  <c r="S62" i="7" s="1"/>
  <c r="S23" i="7"/>
  <c r="S21" i="7" s="1"/>
  <c r="S40" i="7" s="1"/>
  <c r="M67" i="7"/>
  <c r="M68" i="7" s="1"/>
  <c r="M23" i="7"/>
  <c r="O46" i="7"/>
  <c r="O62" i="7" s="1"/>
  <c r="E7" i="8"/>
  <c r="AB36" i="3"/>
  <c r="Q6" i="3"/>
  <c r="K12" i="3"/>
  <c r="K23" i="3"/>
  <c r="P43" i="3"/>
  <c r="P26" i="3"/>
  <c r="M29" i="3"/>
  <c r="W29" i="3"/>
  <c r="T33" i="3"/>
  <c r="I36" i="3"/>
  <c r="H36" i="3"/>
  <c r="F46" i="3"/>
  <c r="S7" i="4"/>
  <c r="P25" i="4"/>
  <c r="R6" i="3"/>
  <c r="W20" i="3"/>
  <c r="W36" i="3" s="1"/>
  <c r="Z26" i="3"/>
  <c r="J33" i="3"/>
  <c r="L39" i="3"/>
  <c r="S46" i="3"/>
  <c r="R41" i="4"/>
  <c r="Z41" i="4"/>
  <c r="V40" i="7"/>
  <c r="T59" i="7"/>
  <c r="U23" i="3"/>
  <c r="L32" i="3"/>
  <c r="L36" i="3"/>
  <c r="V32" i="3"/>
  <c r="K46" i="3"/>
  <c r="U46" i="3"/>
  <c r="V46" i="3"/>
  <c r="I17" i="4"/>
  <c r="G55" i="16"/>
  <c r="D53" i="3"/>
  <c r="K55" i="16"/>
  <c r="K56" i="16" s="1"/>
  <c r="P47" i="7"/>
  <c r="T53" i="3"/>
  <c r="T54" i="3" s="1"/>
  <c r="M20" i="8"/>
  <c r="G12" i="5"/>
  <c r="U13" i="5"/>
  <c r="K16" i="5"/>
  <c r="K8" i="5" s="1"/>
  <c r="S23" i="5"/>
  <c r="S10" i="5" s="1"/>
  <c r="G9" i="7"/>
  <c r="T9" i="7"/>
  <c r="T7" i="7" s="1"/>
  <c r="M9" i="7"/>
  <c r="M7" i="7" s="1"/>
  <c r="J54" i="7"/>
  <c r="J68" i="7"/>
  <c r="T68" i="7"/>
  <c r="R29" i="7"/>
  <c r="R21" i="7" s="1"/>
  <c r="R40" i="7" s="1"/>
  <c r="R4" i="7" s="1"/>
  <c r="U62" i="7"/>
  <c r="U68" i="7"/>
  <c r="K7" i="8"/>
  <c r="U31" i="8"/>
  <c r="U10" i="5"/>
  <c r="J62" i="7"/>
  <c r="T62" i="7"/>
  <c r="V13" i="5"/>
  <c r="D40" i="7"/>
  <c r="D4" i="7" s="1"/>
  <c r="E47" i="7"/>
  <c r="E59" i="7" s="1"/>
  <c r="U59" i="7"/>
  <c r="N9" i="7"/>
  <c r="V42" i="7"/>
  <c r="O54" i="7"/>
  <c r="G14" i="7"/>
  <c r="H58" i="7"/>
  <c r="H59" i="7" s="1"/>
  <c r="H23" i="7"/>
  <c r="H21" i="7" s="1"/>
  <c r="H40" i="7" s="1"/>
  <c r="R59" i="7"/>
  <c r="O68" i="7"/>
  <c r="T29" i="7"/>
  <c r="M29" i="7"/>
  <c r="E40" i="7"/>
  <c r="E4" i="7" s="1"/>
  <c r="U65" i="7"/>
  <c r="I55" i="16"/>
  <c r="F47" i="7"/>
  <c r="F59" i="7" s="1"/>
  <c r="O19" i="5"/>
  <c r="K10" i="5"/>
  <c r="E13" i="5"/>
  <c r="H16" i="5"/>
  <c r="H8" i="5" s="1"/>
  <c r="P16" i="5"/>
  <c r="P8" i="5" s="1"/>
  <c r="G54" i="7"/>
  <c r="N14" i="7"/>
  <c r="H14" i="7"/>
  <c r="H7" i="7" s="1"/>
  <c r="V14" i="7"/>
  <c r="V7" i="7" s="1"/>
  <c r="V4" i="7" s="1"/>
  <c r="O14" i="7"/>
  <c r="O7" i="7" s="1"/>
  <c r="O64" i="7"/>
  <c r="O23" i="7"/>
  <c r="O21" i="7" s="1"/>
  <c r="O40" i="7" s="1"/>
  <c r="I58" i="7"/>
  <c r="I59" i="7" s="1"/>
  <c r="I23" i="7"/>
  <c r="S59" i="7"/>
  <c r="G21" i="7"/>
  <c r="G40" i="7" s="1"/>
  <c r="F40" i="7"/>
  <c r="F4" i="7" s="1"/>
  <c r="P51" i="7"/>
  <c r="J59" i="7"/>
  <c r="T33" i="9"/>
  <c r="F13" i="5"/>
  <c r="I23" i="5"/>
  <c r="I10" i="5" s="1"/>
  <c r="I29" i="7"/>
  <c r="N40" i="7"/>
  <c r="T54" i="7"/>
  <c r="E65" i="7"/>
  <c r="P31" i="8"/>
  <c r="R16" i="5"/>
  <c r="R8" i="5" s="1"/>
  <c r="L59" i="7"/>
  <c r="Q29" i="7"/>
  <c r="Q21" i="7" s="1"/>
  <c r="Q40" i="7" s="1"/>
  <c r="Q4" i="7" s="1"/>
  <c r="Q12" i="5"/>
  <c r="Q10" i="5" s="1"/>
  <c r="F7" i="8"/>
  <c r="F31" i="8" s="1"/>
  <c r="K31" i="8"/>
  <c r="D59" i="7"/>
  <c r="Q64" i="7"/>
  <c r="Q65" i="7" s="1"/>
  <c r="N23" i="9"/>
  <c r="L15" i="9"/>
  <c r="O33" i="9"/>
  <c r="G42" i="9"/>
  <c r="N8" i="16"/>
  <c r="P59" i="7"/>
  <c r="I33" i="9"/>
  <c r="S33" i="9"/>
  <c r="J42" i="9"/>
  <c r="T42" i="9"/>
  <c r="N42" i="9"/>
  <c r="AC10" i="14"/>
  <c r="AA8" i="14"/>
  <c r="AB10" i="14"/>
  <c r="AC7" i="14"/>
  <c r="AC12" i="14"/>
  <c r="AA10" i="14"/>
  <c r="AB7" i="14"/>
  <c r="AB12" i="14"/>
  <c r="AC9" i="14"/>
  <c r="AA7" i="14"/>
  <c r="AA12" i="14"/>
  <c r="AB9" i="14"/>
  <c r="AC6" i="14"/>
  <c r="AC11" i="14"/>
  <c r="AA9" i="14"/>
  <c r="AB6" i="14"/>
  <c r="AA11" i="14"/>
  <c r="AB8" i="14"/>
  <c r="AA6" i="14"/>
  <c r="H9" i="9"/>
  <c r="H23" i="9" s="1"/>
  <c r="H46" i="9" s="1"/>
  <c r="R9" i="9"/>
  <c r="R23" i="9" s="1"/>
  <c r="R46" i="9" s="1"/>
  <c r="V9" i="9"/>
  <c r="M15" i="9"/>
  <c r="M23" i="9" s="1"/>
  <c r="G15" i="9"/>
  <c r="G23" i="9" s="1"/>
  <c r="M37" i="16"/>
  <c r="M34" i="16" s="1"/>
  <c r="M35" i="16" s="1"/>
  <c r="I20" i="17"/>
  <c r="I19" i="17"/>
  <c r="O6" i="21"/>
  <c r="T21" i="17"/>
  <c r="D65" i="7"/>
  <c r="F68" i="7"/>
  <c r="AB11" i="14"/>
  <c r="P15" i="16"/>
  <c r="O14" i="16"/>
  <c r="N17" i="16"/>
  <c r="S27" i="18"/>
  <c r="V53" i="3" s="1"/>
  <c r="S14" i="17"/>
  <c r="S17" i="17" s="1"/>
  <c r="E31" i="8"/>
  <c r="F32" i="8" s="1"/>
  <c r="K32" i="8" s="1"/>
  <c r="P32" i="8" s="1"/>
  <c r="U32" i="8" s="1"/>
  <c r="G20" i="8"/>
  <c r="V23" i="9"/>
  <c r="V46" i="9" s="1"/>
  <c r="J9" i="9"/>
  <c r="J23" i="9" s="1"/>
  <c r="J46" i="9" s="1"/>
  <c r="T9" i="9"/>
  <c r="T23" i="9" s="1"/>
  <c r="T46" i="9" s="1"/>
  <c r="O15" i="9"/>
  <c r="O23" i="9" s="1"/>
  <c r="O46" i="9" s="1"/>
  <c r="I15" i="9"/>
  <c r="I23" i="9" s="1"/>
  <c r="I46" i="9" s="1"/>
  <c r="S15" i="9"/>
  <c r="S23" i="9" s="1"/>
  <c r="S46" i="9" s="1"/>
  <c r="M33" i="9"/>
  <c r="G33" i="9"/>
  <c r="M27" i="16"/>
  <c r="N28" i="16"/>
  <c r="N45" i="16"/>
  <c r="M44" i="16"/>
  <c r="P65" i="7"/>
  <c r="L9" i="9"/>
  <c r="L23" i="9" s="1"/>
  <c r="L46" i="9" s="1"/>
  <c r="Q15" i="9"/>
  <c r="Q23" i="9" s="1"/>
  <c r="Q46" i="9" s="1"/>
  <c r="M50" i="16"/>
  <c r="M7" i="16"/>
  <c r="S7" i="16" s="1"/>
  <c r="M40" i="16"/>
  <c r="M23" i="16"/>
  <c r="N22" i="16"/>
  <c r="Q8" i="17"/>
  <c r="Q14" i="17" s="1"/>
  <c r="Q17" i="17" s="1"/>
  <c r="P5" i="17"/>
  <c r="O26" i="8" s="1"/>
  <c r="M19" i="17"/>
  <c r="M20" i="17"/>
  <c r="S7" i="14"/>
  <c r="U9" i="14"/>
  <c r="T12" i="14"/>
  <c r="Y7" i="14"/>
  <c r="X10" i="14"/>
  <c r="K35" i="16"/>
  <c r="U14" i="17"/>
  <c r="U17" i="17" s="1"/>
  <c r="J19" i="17"/>
  <c r="J20" i="17"/>
  <c r="V9" i="18"/>
  <c r="U5" i="18"/>
  <c r="K41" i="19"/>
  <c r="J17" i="18"/>
  <c r="J13" i="18"/>
  <c r="J23" i="18" s="1"/>
  <c r="Q21" i="20"/>
  <c r="M43" i="20"/>
  <c r="Q43" i="20" s="1"/>
  <c r="U7" i="14"/>
  <c r="T10" i="14"/>
  <c r="W6" i="14"/>
  <c r="X8" i="14"/>
  <c r="W11" i="14"/>
  <c r="H31" i="16"/>
  <c r="J48" i="16"/>
  <c r="F22" i="18"/>
  <c r="C41" i="19"/>
  <c r="Y8" i="14"/>
  <c r="X11" i="14"/>
  <c r="K48" i="16"/>
  <c r="W20" i="17"/>
  <c r="W19" i="17"/>
  <c r="R19" i="17"/>
  <c r="R20" i="17"/>
  <c r="T19" i="17"/>
  <c r="F17" i="18"/>
  <c r="S6" i="14"/>
  <c r="T8" i="14"/>
  <c r="S11" i="14"/>
  <c r="X6" i="14"/>
  <c r="W9" i="14"/>
  <c r="Y11" i="14"/>
  <c r="I50" i="16"/>
  <c r="I53" i="16" s="1"/>
  <c r="I48" i="16"/>
  <c r="J31" i="16"/>
  <c r="G26" i="18"/>
  <c r="F7" i="17"/>
  <c r="F26" i="18" s="1"/>
  <c r="I50" i="3" s="1"/>
  <c r="E19" i="17"/>
  <c r="E20" i="17"/>
  <c r="E21" i="17" s="1"/>
  <c r="F9" i="17"/>
  <c r="F27" i="18" s="1"/>
  <c r="I53" i="3" s="1"/>
  <c r="D20" i="17"/>
  <c r="D21" i="17" s="1"/>
  <c r="F20" i="19"/>
  <c r="U8" i="14"/>
  <c r="T11" i="14"/>
  <c r="Y6" i="14"/>
  <c r="X9" i="14"/>
  <c r="W12" i="14"/>
  <c r="K31" i="16"/>
  <c r="N40" i="16"/>
  <c r="G50" i="16"/>
  <c r="G53" i="16" s="1"/>
  <c r="H20" i="17"/>
  <c r="H19" i="17"/>
  <c r="O20" i="17"/>
  <c r="O19" i="17"/>
  <c r="K13" i="18"/>
  <c r="Q22" i="18"/>
  <c r="Q23" i="18" s="1"/>
  <c r="P16" i="18"/>
  <c r="F41" i="19"/>
  <c r="G41" i="19"/>
  <c r="H43" i="20"/>
  <c r="L43" i="20" s="1"/>
  <c r="L21" i="20"/>
  <c r="T6" i="14"/>
  <c r="S9" i="14"/>
  <c r="U11" i="14"/>
  <c r="W7" i="14"/>
  <c r="Y9" i="14"/>
  <c r="X12" i="14"/>
  <c r="G35" i="16"/>
  <c r="H50" i="16"/>
  <c r="H56" i="16" s="1"/>
  <c r="G8" i="17"/>
  <c r="G14" i="17" s="1"/>
  <c r="G17" i="17" s="1"/>
  <c r="F5" i="17"/>
  <c r="L9" i="17"/>
  <c r="K10" i="17"/>
  <c r="K9" i="17" s="1"/>
  <c r="K27" i="18" s="1"/>
  <c r="N53" i="3" s="1"/>
  <c r="C19" i="17"/>
  <c r="C20" i="17"/>
  <c r="C21" i="17" s="1"/>
  <c r="N20" i="17"/>
  <c r="N19" i="17"/>
  <c r="L17" i="18"/>
  <c r="L13" i="18"/>
  <c r="L23" i="18" s="1"/>
  <c r="R17" i="18"/>
  <c r="R13" i="18"/>
  <c r="R23" i="18" s="1"/>
  <c r="H11" i="21"/>
  <c r="M11" i="21"/>
  <c r="U6" i="14"/>
  <c r="T9" i="14"/>
  <c r="X7" i="14"/>
  <c r="W10" i="14"/>
  <c r="L50" i="16"/>
  <c r="L53" i="16" s="1"/>
  <c r="L48" i="16"/>
  <c r="K8" i="17"/>
  <c r="K14" i="17" s="1"/>
  <c r="K17" i="17" s="1"/>
  <c r="P7" i="17"/>
  <c r="P26" i="18" s="1"/>
  <c r="S50" i="3" s="1"/>
  <c r="Q26" i="18"/>
  <c r="P9" i="18"/>
  <c r="N41" i="19"/>
  <c r="O41" i="19"/>
  <c r="G21" i="20"/>
  <c r="M15" i="21"/>
  <c r="K16" i="18"/>
  <c r="K17" i="18" s="1"/>
  <c r="G7" i="20"/>
  <c r="R13" i="21"/>
  <c r="V17" i="8" s="1"/>
  <c r="V15" i="8" s="1"/>
  <c r="V9" i="17"/>
  <c r="F10" i="18"/>
  <c r="F13" i="18" s="1"/>
  <c r="F23" i="18" s="1"/>
  <c r="N17" i="18"/>
  <c r="Q19" i="18"/>
  <c r="F16" i="21"/>
  <c r="P16" i="21"/>
  <c r="F34" i="19"/>
  <c r="N34" i="19"/>
  <c r="Q7" i="20"/>
  <c r="C43" i="20"/>
  <c r="F12" i="21"/>
  <c r="P12" i="21"/>
  <c r="K17" i="21"/>
  <c r="O22" i="8" s="1"/>
  <c r="O20" i="8" s="1"/>
  <c r="O27" i="18"/>
  <c r="R53" i="3" s="1"/>
  <c r="W27" i="18"/>
  <c r="Z53" i="3" s="1"/>
  <c r="K13" i="21"/>
  <c r="I17" i="18"/>
  <c r="Q17" i="18"/>
  <c r="F17" i="21"/>
  <c r="J22" i="8" s="1"/>
  <c r="N13" i="19"/>
  <c r="N6" i="19" s="1"/>
  <c r="AD59" i="7" l="1"/>
  <c r="AA59" i="7"/>
  <c r="AE59" i="7" s="1"/>
  <c r="X59" i="7"/>
  <c r="I59" i="2"/>
  <c r="AC14" i="23" s="1"/>
  <c r="I58" i="2"/>
  <c r="I56" i="2"/>
  <c r="F59" i="2"/>
  <c r="Y14" i="23" s="1"/>
  <c r="F58" i="2"/>
  <c r="F56" i="2"/>
  <c r="I50" i="2"/>
  <c r="I51" i="2" s="1"/>
  <c r="I48" i="2"/>
  <c r="I42" i="2"/>
  <c r="I40" i="2"/>
  <c r="I43" i="2"/>
  <c r="AG39" i="3" s="1"/>
  <c r="K34" i="2"/>
  <c r="K35" i="2" s="1"/>
  <c r="J34" i="2"/>
  <c r="J35" i="2" s="1"/>
  <c r="I34" i="2"/>
  <c r="I35" i="2" s="1"/>
  <c r="H34" i="2"/>
  <c r="H35" i="2" s="1"/>
  <c r="AF23" i="3" s="1"/>
  <c r="G34" i="2"/>
  <c r="G35" i="2" s="1"/>
  <c r="AE23" i="3" s="1"/>
  <c r="F34" i="2"/>
  <c r="F35" i="2" s="1"/>
  <c r="AC23" i="3" s="1"/>
  <c r="AC22" i="3" s="1"/>
  <c r="E34" i="2"/>
  <c r="E35" i="2" s="1"/>
  <c r="AB23" i="3" s="1"/>
  <c r="AB22" i="3" s="1"/>
  <c r="D34" i="2"/>
  <c r="D35" i="2" s="1"/>
  <c r="AA23" i="3" s="1"/>
  <c r="AA22" i="3" s="1"/>
  <c r="K32" i="2"/>
  <c r="J32" i="2"/>
  <c r="I32" i="2"/>
  <c r="H32" i="2"/>
  <c r="G32" i="2"/>
  <c r="F32" i="2"/>
  <c r="E32" i="2"/>
  <c r="D32" i="2"/>
  <c r="G42" i="2"/>
  <c r="G43" i="2" s="1"/>
  <c r="AE39" i="3" s="1"/>
  <c r="D42" i="2"/>
  <c r="D43" i="2" s="1"/>
  <c r="AA39" i="3" s="1"/>
  <c r="H40" i="2"/>
  <c r="G40" i="2"/>
  <c r="F40" i="2"/>
  <c r="E40" i="2"/>
  <c r="D40" i="2"/>
  <c r="K26" i="2"/>
  <c r="K27" i="2" s="1"/>
  <c r="J26" i="2"/>
  <c r="J27" i="2" s="1"/>
  <c r="I26" i="2"/>
  <c r="I27" i="2" s="1"/>
  <c r="AG18" i="3" s="1"/>
  <c r="G26" i="2"/>
  <c r="G27" i="2" s="1"/>
  <c r="AE18" i="3" s="1"/>
  <c r="F26" i="2"/>
  <c r="F27" i="2" s="1"/>
  <c r="AC18" i="3" s="1"/>
  <c r="E26" i="2"/>
  <c r="E27" i="2" s="1"/>
  <c r="AB18" i="3" s="1"/>
  <c r="D26" i="2"/>
  <c r="D27" i="2" s="1"/>
  <c r="AA18" i="3" s="1"/>
  <c r="AA17" i="3" s="1"/>
  <c r="K24" i="2"/>
  <c r="J24" i="2"/>
  <c r="I24" i="2"/>
  <c r="H24" i="2"/>
  <c r="G24" i="2"/>
  <c r="F24" i="2"/>
  <c r="E24" i="2"/>
  <c r="D24" i="2"/>
  <c r="K18" i="2"/>
  <c r="K19" i="2" s="1"/>
  <c r="J18" i="2"/>
  <c r="J19" i="2" s="1"/>
  <c r="I18" i="2"/>
  <c r="I19" i="2" s="1"/>
  <c r="H18" i="2"/>
  <c r="H19" i="2" s="1"/>
  <c r="AF12" i="3" s="1"/>
  <c r="G18" i="2"/>
  <c r="G19" i="2" s="1"/>
  <c r="AE12" i="3" s="1"/>
  <c r="F18" i="2"/>
  <c r="F19" i="2" s="1"/>
  <c r="AC12" i="3" s="1"/>
  <c r="E18" i="2"/>
  <c r="E19" i="2" s="1"/>
  <c r="AB12" i="3" s="1"/>
  <c r="D18" i="2"/>
  <c r="D19" i="2" s="1"/>
  <c r="AA12" i="3" s="1"/>
  <c r="AA11" i="3" s="1"/>
  <c r="K16" i="2"/>
  <c r="J16" i="2"/>
  <c r="I16" i="2"/>
  <c r="H16" i="2"/>
  <c r="G16" i="2"/>
  <c r="F16" i="2"/>
  <c r="E16" i="2"/>
  <c r="D16" i="2"/>
  <c r="K10" i="2"/>
  <c r="K11" i="2" s="1"/>
  <c r="AI9" i="3" s="1"/>
  <c r="J10" i="2"/>
  <c r="J11" i="2" s="1"/>
  <c r="AH9" i="3" s="1"/>
  <c r="I10" i="2"/>
  <c r="I11" i="2" s="1"/>
  <c r="AG9" i="3" s="1"/>
  <c r="H10" i="2"/>
  <c r="H11" i="2" s="1"/>
  <c r="AF9" i="3" s="1"/>
  <c r="G10" i="2"/>
  <c r="G11" i="2" s="1"/>
  <c r="AE9" i="3" s="1"/>
  <c r="F10" i="2"/>
  <c r="F11" i="2" s="1"/>
  <c r="AC9" i="3" s="1"/>
  <c r="E10" i="2"/>
  <c r="E11" i="2" s="1"/>
  <c r="AB9" i="3" s="1"/>
  <c r="D11" i="2"/>
  <c r="AA9" i="3" s="1"/>
  <c r="AA8" i="3" s="1"/>
  <c r="K8" i="2"/>
  <c r="J8" i="2"/>
  <c r="I8" i="2"/>
  <c r="H8" i="2"/>
  <c r="G8" i="2"/>
  <c r="F8" i="2"/>
  <c r="E8" i="2"/>
  <c r="D8" i="2"/>
  <c r="G50" i="2"/>
  <c r="G51" i="2" s="1"/>
  <c r="AE36" i="3" s="1"/>
  <c r="D50" i="2"/>
  <c r="D51" i="2" s="1"/>
  <c r="AA36" i="3" s="1"/>
  <c r="H48" i="2"/>
  <c r="G48" i="2"/>
  <c r="F48" i="2"/>
  <c r="E48" i="2"/>
  <c r="D48" i="2"/>
  <c r="AE62" i="7"/>
  <c r="AB68" i="7"/>
  <c r="Y68" i="7"/>
  <c r="AC68" i="7" s="1"/>
  <c r="AB65" i="7"/>
  <c r="Y65" i="7"/>
  <c r="AC65" i="7" s="1"/>
  <c r="AB62" i="7"/>
  <c r="Y62" i="7"/>
  <c r="AB59" i="7"/>
  <c r="Y59" i="7"/>
  <c r="AC59" i="7" s="1"/>
  <c r="AB54" i="7"/>
  <c r="Y54" i="7"/>
  <c r="AC54" i="7" s="1"/>
  <c r="K13" i="23"/>
  <c r="K14" i="23" s="1"/>
  <c r="G14" i="23"/>
  <c r="P13" i="23"/>
  <c r="P14" i="23" s="1"/>
  <c r="L14" i="23"/>
  <c r="U13" i="23"/>
  <c r="U14" i="23" s="1"/>
  <c r="Q14" i="23"/>
  <c r="V14" i="23"/>
  <c r="AD25" i="3"/>
  <c r="AE25" i="3" s="1"/>
  <c r="AF25" i="3" s="1"/>
  <c r="AG25" i="3" s="1"/>
  <c r="AH25" i="3" s="1"/>
  <c r="AI25" i="3" s="1"/>
  <c r="AA14" i="3"/>
  <c r="AB14" i="3" s="1"/>
  <c r="AD41" i="3"/>
  <c r="AA38" i="3"/>
  <c r="AB8" i="3"/>
  <c r="AA20" i="3"/>
  <c r="AA28" i="3" s="1"/>
  <c r="AA6" i="3" s="1"/>
  <c r="AA6" i="4" s="1"/>
  <c r="AA35" i="3"/>
  <c r="AB17" i="3"/>
  <c r="AC14" i="3"/>
  <c r="AD14" i="3"/>
  <c r="AE14" i="3" s="1"/>
  <c r="AF14" i="3" s="1"/>
  <c r="AG15" i="3"/>
  <c r="AG36" i="3"/>
  <c r="AG23" i="3"/>
  <c r="AB11" i="3"/>
  <c r="AC11" i="3" s="1"/>
  <c r="AD11" i="3"/>
  <c r="AE11" i="3" s="1"/>
  <c r="AF11" i="3" s="1"/>
  <c r="AG12" i="3"/>
  <c r="J30" i="11"/>
  <c r="K30" i="11"/>
  <c r="K29" i="11"/>
  <c r="L30" i="11"/>
  <c r="L29" i="11"/>
  <c r="M30" i="11"/>
  <c r="M29" i="11"/>
  <c r="N30" i="11"/>
  <c r="N29" i="11"/>
  <c r="O30" i="11"/>
  <c r="O29" i="11"/>
  <c r="O17" i="8"/>
  <c r="O15" i="8" s="1"/>
  <c r="K11" i="21"/>
  <c r="L27" i="18"/>
  <c r="L14" i="17"/>
  <c r="L17" i="17" s="1"/>
  <c r="M48" i="16"/>
  <c r="M31" i="16"/>
  <c r="M30" i="16" s="1"/>
  <c r="M43" i="16"/>
  <c r="G46" i="9"/>
  <c r="G48" i="9" s="1"/>
  <c r="M46" i="9"/>
  <c r="I21" i="7"/>
  <c r="I40" i="7" s="1"/>
  <c r="O4" i="7"/>
  <c r="G7" i="7"/>
  <c r="V33" i="3"/>
  <c r="V48" i="3"/>
  <c r="V51" i="3" s="1"/>
  <c r="Q46" i="3"/>
  <c r="Q33" i="3"/>
  <c r="L56" i="16"/>
  <c r="W48" i="3"/>
  <c r="W46" i="3"/>
  <c r="F33" i="3"/>
  <c r="F48" i="3"/>
  <c r="O8" i="21"/>
  <c r="S10" i="8" s="1"/>
  <c r="S43" i="7"/>
  <c r="N8" i="21"/>
  <c r="R10" i="8" s="1"/>
  <c r="R43" i="7"/>
  <c r="J8" i="21"/>
  <c r="N10" i="8" s="1"/>
  <c r="N43" i="7"/>
  <c r="I8" i="21"/>
  <c r="M10" i="8" s="1"/>
  <c r="M43" i="7"/>
  <c r="E8" i="21"/>
  <c r="I10" i="8" s="1"/>
  <c r="I43" i="7"/>
  <c r="D8" i="21"/>
  <c r="H10" i="8" s="1"/>
  <c r="H43" i="7"/>
  <c r="N20" i="19"/>
  <c r="N38" i="19" s="1"/>
  <c r="N4" i="19" s="1"/>
  <c r="J41" i="19"/>
  <c r="O42" i="7"/>
  <c r="J4" i="19"/>
  <c r="J21" i="7"/>
  <c r="J40" i="7" s="1"/>
  <c r="J4" i="7" s="1"/>
  <c r="M33" i="3"/>
  <c r="M48" i="3"/>
  <c r="R8" i="21"/>
  <c r="V10" i="8" s="1"/>
  <c r="V43" i="7"/>
  <c r="F15" i="21"/>
  <c r="J21" i="8"/>
  <c r="J20" i="8" s="1"/>
  <c r="I6" i="21"/>
  <c r="N21" i="17"/>
  <c r="N31" i="16"/>
  <c r="S19" i="17"/>
  <c r="S20" i="17"/>
  <c r="L33" i="3"/>
  <c r="M21" i="7"/>
  <c r="M40" i="7" s="1"/>
  <c r="H46" i="3"/>
  <c r="H48" i="3"/>
  <c r="H29" i="3"/>
  <c r="U28" i="4"/>
  <c r="U29" i="4"/>
  <c r="U30" i="4" s="1"/>
  <c r="P11" i="21"/>
  <c r="T16" i="8"/>
  <c r="T15" i="8" s="1"/>
  <c r="U19" i="17"/>
  <c r="U20" i="17"/>
  <c r="N23" i="16"/>
  <c r="O22" i="16"/>
  <c r="V54" i="3"/>
  <c r="O5" i="21"/>
  <c r="O24" i="21" s="1"/>
  <c r="S8" i="8"/>
  <c r="S7" i="8" s="1"/>
  <c r="S31" i="8" s="1"/>
  <c r="I56" i="16"/>
  <c r="N7" i="7"/>
  <c r="N4" i="7" s="1"/>
  <c r="G4" i="7"/>
  <c r="E54" i="3"/>
  <c r="S4" i="7"/>
  <c r="W54" i="3"/>
  <c r="W51" i="3"/>
  <c r="S28" i="4"/>
  <c r="S29" i="4"/>
  <c r="S30" i="4" s="1"/>
  <c r="O45" i="16"/>
  <c r="N44" i="16"/>
  <c r="F19" i="18"/>
  <c r="I22" i="3"/>
  <c r="K15" i="21"/>
  <c r="M8" i="21"/>
  <c r="Q10" i="8" s="1"/>
  <c r="Q43" i="7"/>
  <c r="N27" i="16"/>
  <c r="O28" i="16"/>
  <c r="V27" i="18"/>
  <c r="V14" i="17"/>
  <c r="V17" i="17" s="1"/>
  <c r="F8" i="21"/>
  <c r="J43" i="7"/>
  <c r="R11" i="21"/>
  <c r="Q15" i="16"/>
  <c r="P14" i="16"/>
  <c r="Q25" i="4"/>
  <c r="Q43" i="4"/>
  <c r="Q44" i="4" s="1"/>
  <c r="T21" i="7"/>
  <c r="T40" i="7" s="1"/>
  <c r="T4" i="7" s="1"/>
  <c r="H28" i="4"/>
  <c r="H29" i="4"/>
  <c r="H30" i="4" s="1"/>
  <c r="G54" i="3"/>
  <c r="G51" i="3"/>
  <c r="F29" i="4"/>
  <c r="F30" i="4" s="1"/>
  <c r="F28" i="4"/>
  <c r="Q43" i="3"/>
  <c r="N29" i="4"/>
  <c r="N30" i="4" s="1"/>
  <c r="N28" i="4"/>
  <c r="C8" i="21"/>
  <c r="G10" i="8" s="1"/>
  <c r="G43" i="7"/>
  <c r="N20" i="16"/>
  <c r="N37" i="16" s="1"/>
  <c r="N34" i="16" s="1"/>
  <c r="O17" i="16"/>
  <c r="U43" i="3"/>
  <c r="Z43" i="3"/>
  <c r="L48" i="3"/>
  <c r="L29" i="3"/>
  <c r="L46" i="3"/>
  <c r="G43" i="20"/>
  <c r="C45" i="20"/>
  <c r="D44" i="20" s="1"/>
  <c r="P8" i="21"/>
  <c r="T10" i="8" s="1"/>
  <c r="T43" i="7"/>
  <c r="H8" i="21"/>
  <c r="L10" i="8" s="1"/>
  <c r="L43" i="7"/>
  <c r="D6" i="21"/>
  <c r="I21" i="17"/>
  <c r="L43" i="4"/>
  <c r="L44" i="4" s="1"/>
  <c r="L25" i="4"/>
  <c r="W43" i="4"/>
  <c r="W44" i="4" s="1"/>
  <c r="W25" i="4"/>
  <c r="P13" i="18"/>
  <c r="P17" i="18"/>
  <c r="Z54" i="3"/>
  <c r="F8" i="17"/>
  <c r="F14" i="17" s="1"/>
  <c r="F17" i="17" s="1"/>
  <c r="P22" i="18"/>
  <c r="S35" i="3"/>
  <c r="C6" i="21"/>
  <c r="H21" i="17"/>
  <c r="R6" i="21"/>
  <c r="W21" i="17"/>
  <c r="U9" i="18"/>
  <c r="X8" i="3"/>
  <c r="P8" i="17"/>
  <c r="P14" i="17" s="1"/>
  <c r="P17" i="17" s="1"/>
  <c r="O12" i="8"/>
  <c r="O65" i="7"/>
  <c r="G10" i="5"/>
  <c r="G16" i="5"/>
  <c r="G8" i="5" s="1"/>
  <c r="D54" i="3"/>
  <c r="Q48" i="3"/>
  <c r="Q29" i="3"/>
  <c r="I4" i="7"/>
  <c r="H33" i="3"/>
  <c r="R33" i="3"/>
  <c r="P33" i="3"/>
  <c r="V43" i="4"/>
  <c r="V44" i="4" s="1"/>
  <c r="V25" i="4"/>
  <c r="W43" i="3"/>
  <c r="W33" i="3"/>
  <c r="O8" i="16"/>
  <c r="N6" i="16"/>
  <c r="R28" i="4"/>
  <c r="R29" i="4"/>
  <c r="R30" i="4" s="1"/>
  <c r="J6" i="21"/>
  <c r="O21" i="17"/>
  <c r="H6" i="21"/>
  <c r="M21" i="17"/>
  <c r="R46" i="3"/>
  <c r="R48" i="3"/>
  <c r="R51" i="3" s="1"/>
  <c r="R29" i="3"/>
  <c r="G19" i="17"/>
  <c r="G20" i="17"/>
  <c r="G21" i="17" s="1"/>
  <c r="F38" i="19"/>
  <c r="F4" i="19" s="1"/>
  <c r="H53" i="16"/>
  <c r="M53" i="16" s="1"/>
  <c r="V13" i="18"/>
  <c r="V23" i="18" s="1"/>
  <c r="V17" i="18"/>
  <c r="N46" i="9"/>
  <c r="G56" i="16"/>
  <c r="X43" i="3"/>
  <c r="P28" i="4"/>
  <c r="P29" i="4"/>
  <c r="P30" i="4" s="1"/>
  <c r="X43" i="4"/>
  <c r="X44" i="4" s="1"/>
  <c r="X25" i="4"/>
  <c r="Q16" i="5"/>
  <c r="Q8" i="5" s="1"/>
  <c r="O54" i="3"/>
  <c r="M29" i="4"/>
  <c r="M30" i="4" s="1"/>
  <c r="M28" i="4"/>
  <c r="K29" i="4"/>
  <c r="K30" i="4" s="1"/>
  <c r="K28" i="4"/>
  <c r="F11" i="21"/>
  <c r="J16" i="8"/>
  <c r="J15" i="8" s="1"/>
  <c r="L20" i="17"/>
  <c r="L21" i="17" s="1"/>
  <c r="L19" i="17"/>
  <c r="P15" i="21"/>
  <c r="T21" i="8"/>
  <c r="T20" i="8" s="1"/>
  <c r="K22" i="18"/>
  <c r="K23" i="18" s="1"/>
  <c r="N35" i="3"/>
  <c r="M47" i="16"/>
  <c r="N48" i="16"/>
  <c r="J21" i="17"/>
  <c r="E6" i="21"/>
  <c r="M4" i="7"/>
  <c r="I25" i="4"/>
  <c r="I43" i="4"/>
  <c r="I44" i="4" s="1"/>
  <c r="G25" i="4"/>
  <c r="G43" i="4"/>
  <c r="G44" i="4" s="1"/>
  <c r="P46" i="3"/>
  <c r="P48" i="3"/>
  <c r="Z28" i="4"/>
  <c r="AA28" i="4" s="1"/>
  <c r="Z29" i="4"/>
  <c r="Z30" i="4" s="1"/>
  <c r="M6" i="21"/>
  <c r="R21" i="17"/>
  <c r="K19" i="17"/>
  <c r="K20" i="17"/>
  <c r="Q20" i="17"/>
  <c r="Q21" i="17" s="1"/>
  <c r="Q19" i="17"/>
  <c r="H4" i="7"/>
  <c r="L6" i="10" l="1"/>
  <c r="AB28" i="4"/>
  <c r="AC28" i="4" s="1"/>
  <c r="AD28" i="4" s="1"/>
  <c r="J42" i="2"/>
  <c r="J40" i="2"/>
  <c r="J43" i="2"/>
  <c r="J50" i="2"/>
  <c r="J51" i="2" s="1"/>
  <c r="J48" i="2"/>
  <c r="J59" i="2"/>
  <c r="AD14" i="23" s="1"/>
  <c r="J58" i="2"/>
  <c r="J56" i="2"/>
  <c r="W7" i="23"/>
  <c r="W6" i="23" s="1"/>
  <c r="W9" i="8" s="1"/>
  <c r="W25" i="8"/>
  <c r="W11" i="8"/>
  <c r="W38" i="7" s="1"/>
  <c r="W45" i="7"/>
  <c r="AC62" i="7"/>
  <c r="AC17" i="3"/>
  <c r="AD17" i="3" s="1"/>
  <c r="AE17" i="3" s="1"/>
  <c r="AF17" i="3" s="1"/>
  <c r="AG17" i="3"/>
  <c r="W13" i="23"/>
  <c r="W17" i="8" s="1"/>
  <c r="AA7" i="4"/>
  <c r="AA45" i="3"/>
  <c r="AC8" i="3"/>
  <c r="AD8" i="3" s="1"/>
  <c r="AB20" i="3"/>
  <c r="AB38" i="3"/>
  <c r="AG14" i="3"/>
  <c r="AH15" i="3"/>
  <c r="AH36" i="3"/>
  <c r="AH39" i="3"/>
  <c r="AH23" i="3"/>
  <c r="AH18" i="3"/>
  <c r="AH17" i="3" s="1"/>
  <c r="AG11" i="3"/>
  <c r="AH12" i="3"/>
  <c r="P23" i="18"/>
  <c r="Q14" i="16"/>
  <c r="N30" i="16"/>
  <c r="M51" i="3"/>
  <c r="M54" i="3"/>
  <c r="K8" i="21"/>
  <c r="O10" i="8" s="1"/>
  <c r="O43" i="7"/>
  <c r="F54" i="3"/>
  <c r="F51" i="3"/>
  <c r="I28" i="4"/>
  <c r="I29" i="4"/>
  <c r="I30" i="4" s="1"/>
  <c r="C5" i="21"/>
  <c r="C24" i="21" s="1"/>
  <c r="C26" i="21" s="1"/>
  <c r="G8" i="8"/>
  <c r="G7" i="8" s="1"/>
  <c r="G31" i="8" s="1"/>
  <c r="G33" i="8" s="1"/>
  <c r="W29" i="4"/>
  <c r="W30" i="4" s="1"/>
  <c r="W28" i="4"/>
  <c r="Q28" i="4"/>
  <c r="Q29" i="4"/>
  <c r="Q30" i="4" s="1"/>
  <c r="P6" i="21"/>
  <c r="U21" i="17"/>
  <c r="H54" i="3"/>
  <c r="H51" i="3"/>
  <c r="E5" i="21"/>
  <c r="E24" i="21" s="1"/>
  <c r="I8" i="8"/>
  <c r="I7" i="8" s="1"/>
  <c r="I31" i="8" s="1"/>
  <c r="N53" i="16"/>
  <c r="M56" i="16"/>
  <c r="M52" i="16"/>
  <c r="P8" i="16"/>
  <c r="O6" i="16"/>
  <c r="P20" i="17"/>
  <c r="P19" i="17"/>
  <c r="S36" i="3"/>
  <c r="S32" i="3"/>
  <c r="O20" i="16"/>
  <c r="O37" i="16" s="1"/>
  <c r="O34" i="16" s="1"/>
  <c r="O35" i="16" s="1"/>
  <c r="P17" i="16"/>
  <c r="O27" i="16"/>
  <c r="P28" i="16"/>
  <c r="P45" i="16"/>
  <c r="O44" i="16"/>
  <c r="P54" i="3"/>
  <c r="P51" i="3"/>
  <c r="H5" i="21"/>
  <c r="H24" i="21" s="1"/>
  <c r="L8" i="8"/>
  <c r="L7" i="8" s="1"/>
  <c r="L31" i="8" s="1"/>
  <c r="D45" i="20"/>
  <c r="E44" i="20" s="1"/>
  <c r="H47" i="9"/>
  <c r="H48" i="9" s="1"/>
  <c r="X29" i="4"/>
  <c r="X30" i="4" s="1"/>
  <c r="X28" i="4"/>
  <c r="Q54" i="3"/>
  <c r="Q51" i="3"/>
  <c r="J5" i="21"/>
  <c r="J24" i="21" s="1"/>
  <c r="N8" i="8"/>
  <c r="N7" i="8" s="1"/>
  <c r="N31" i="8" s="1"/>
  <c r="V29" i="4"/>
  <c r="V30" i="4" s="1"/>
  <c r="V28" i="4"/>
  <c r="U17" i="18"/>
  <c r="U13" i="18"/>
  <c r="U23" i="18" s="1"/>
  <c r="F20" i="17"/>
  <c r="F21" i="17" s="1"/>
  <c r="F19" i="17"/>
  <c r="V20" i="17"/>
  <c r="V21" i="17" s="1"/>
  <c r="V19" i="17"/>
  <c r="N35" i="16"/>
  <c r="N43" i="16"/>
  <c r="O48" i="16"/>
  <c r="N47" i="16"/>
  <c r="X9" i="3"/>
  <c r="X6" i="3"/>
  <c r="X20" i="3"/>
  <c r="X36" i="3" s="1"/>
  <c r="F6" i="21"/>
  <c r="K21" i="17"/>
  <c r="G29" i="4"/>
  <c r="G30" i="4" s="1"/>
  <c r="G28" i="4"/>
  <c r="N32" i="3"/>
  <c r="N36" i="3"/>
  <c r="R54" i="3"/>
  <c r="D5" i="21"/>
  <c r="D24" i="21" s="1"/>
  <c r="H8" i="8"/>
  <c r="H7" i="8" s="1"/>
  <c r="H31" i="8" s="1"/>
  <c r="N6" i="21"/>
  <c r="S21" i="17"/>
  <c r="N50" i="16"/>
  <c r="N7" i="16"/>
  <c r="L29" i="4"/>
  <c r="L30" i="4" s="1"/>
  <c r="L28" i="4"/>
  <c r="I5" i="21"/>
  <c r="I24" i="21" s="1"/>
  <c r="M8" i="8"/>
  <c r="M7" i="8" s="1"/>
  <c r="M31" i="8" s="1"/>
  <c r="O31" i="16"/>
  <c r="R5" i="21"/>
  <c r="R24" i="21" s="1"/>
  <c r="V8" i="8"/>
  <c r="V31" i="8" s="1"/>
  <c r="L54" i="3"/>
  <c r="L51" i="3"/>
  <c r="I6" i="3"/>
  <c r="N23" i="3"/>
  <c r="I39" i="3"/>
  <c r="O23" i="16"/>
  <c r="P22" i="16"/>
  <c r="O40" i="16"/>
  <c r="M5" i="21"/>
  <c r="M24" i="21" s="1"/>
  <c r="Q8" i="8"/>
  <c r="Q7" i="8" s="1"/>
  <c r="Q31" i="8" s="1"/>
  <c r="J8" i="11" l="1"/>
  <c r="AE28" i="4"/>
  <c r="O21" i="11"/>
  <c r="N21" i="11"/>
  <c r="M21" i="11"/>
  <c r="L21" i="11"/>
  <c r="K21" i="11"/>
  <c r="J21" i="11"/>
  <c r="L7" i="10"/>
  <c r="K59" i="2"/>
  <c r="AE14" i="23" s="1"/>
  <c r="K58" i="2"/>
  <c r="K56" i="2"/>
  <c r="K50" i="2"/>
  <c r="K51" i="2" s="1"/>
  <c r="K48" i="2"/>
  <c r="K42" i="2"/>
  <c r="K40" i="2"/>
  <c r="K43" i="2"/>
  <c r="W15" i="8"/>
  <c r="W16" i="7"/>
  <c r="W53" i="7"/>
  <c r="W12" i="7" s="1"/>
  <c r="W50" i="7"/>
  <c r="W10" i="23"/>
  <c r="AC38" i="3"/>
  <c r="AD38" i="3" s="1"/>
  <c r="AD22" i="3"/>
  <c r="AE22" i="3" s="1"/>
  <c r="AB28" i="3"/>
  <c r="AB35" i="3"/>
  <c r="AC20" i="3"/>
  <c r="AH14" i="3"/>
  <c r="AI15" i="3"/>
  <c r="AI36" i="3"/>
  <c r="AI39" i="3"/>
  <c r="AI23" i="3"/>
  <c r="AI18" i="3"/>
  <c r="AI17" i="3" s="1"/>
  <c r="AH11" i="3"/>
  <c r="AI12" i="3"/>
  <c r="N33" i="3"/>
  <c r="N48" i="3"/>
  <c r="S33" i="3"/>
  <c r="S48" i="3"/>
  <c r="N52" i="16"/>
  <c r="O53" i="16"/>
  <c r="O30" i="16"/>
  <c r="P31" i="16"/>
  <c r="N5" i="21"/>
  <c r="N24" i="21" s="1"/>
  <c r="R8" i="8"/>
  <c r="R7" i="8" s="1"/>
  <c r="R31" i="8" s="1"/>
  <c r="Q45" i="16"/>
  <c r="P44" i="16"/>
  <c r="K6" i="21"/>
  <c r="P21" i="17"/>
  <c r="Q31" i="16"/>
  <c r="F5" i="21"/>
  <c r="F24" i="21" s="1"/>
  <c r="J8" i="8"/>
  <c r="E45" i="20"/>
  <c r="F44" i="20" s="1"/>
  <c r="I47" i="9"/>
  <c r="I48" i="9" s="1"/>
  <c r="Q28" i="16"/>
  <c r="P27" i="16"/>
  <c r="P43" i="16" s="1"/>
  <c r="O7" i="16"/>
  <c r="O50" i="16"/>
  <c r="P48" i="16"/>
  <c r="O47" i="16"/>
  <c r="O43" i="16"/>
  <c r="P6" i="16"/>
  <c r="Q8" i="16"/>
  <c r="Q6" i="16" s="1"/>
  <c r="C28" i="21"/>
  <c r="D25" i="21"/>
  <c r="I48" i="3"/>
  <c r="I46" i="3"/>
  <c r="I33" i="3"/>
  <c r="I29" i="3"/>
  <c r="P20" i="16"/>
  <c r="P37" i="16" s="1"/>
  <c r="P34" i="16" s="1"/>
  <c r="P35" i="16" s="1"/>
  <c r="Q17" i="16"/>
  <c r="Q20" i="16" s="1"/>
  <c r="Q37" i="16" s="1"/>
  <c r="Q34" i="16" s="1"/>
  <c r="Q35" i="16" s="1"/>
  <c r="P23" i="16"/>
  <c r="Q22" i="16"/>
  <c r="P40" i="16"/>
  <c r="X48" i="3"/>
  <c r="X29" i="3"/>
  <c r="X33" i="3"/>
  <c r="X46" i="3"/>
  <c r="N56" i="16"/>
  <c r="M55" i="16"/>
  <c r="P5" i="21"/>
  <c r="P24" i="21" s="1"/>
  <c r="T8" i="8"/>
  <c r="T7" i="8" s="1"/>
  <c r="T31" i="8" s="1"/>
  <c r="O32" i="11" l="1"/>
  <c r="O33" i="11" s="1"/>
  <c r="O16" i="11" s="1"/>
  <c r="N32" i="11"/>
  <c r="N33" i="11" s="1"/>
  <c r="N16" i="11" s="1"/>
  <c r="M32" i="11"/>
  <c r="M33" i="11" s="1"/>
  <c r="M16" i="11" s="1"/>
  <c r="L32" i="11"/>
  <c r="L33" i="11" s="1"/>
  <c r="L16" i="11" s="1"/>
  <c r="K32" i="11"/>
  <c r="K33" i="11" s="1"/>
  <c r="K16" i="11" s="1"/>
  <c r="J32" i="11"/>
  <c r="AF28" i="4"/>
  <c r="K8" i="11"/>
  <c r="W11" i="7"/>
  <c r="W14" i="7"/>
  <c r="AF22" i="3"/>
  <c r="AE38" i="3"/>
  <c r="AA32" i="3"/>
  <c r="AE8" i="3"/>
  <c r="AD20" i="3"/>
  <c r="AC28" i="3"/>
  <c r="AC6" i="3" s="1"/>
  <c r="AC6" i="4" s="1"/>
  <c r="AC35" i="3"/>
  <c r="AD35" i="3"/>
  <c r="AD28" i="3"/>
  <c r="AD6" i="3" s="1"/>
  <c r="AD6" i="4" s="1"/>
  <c r="AB6" i="3"/>
  <c r="AB6" i="4" s="1"/>
  <c r="AI14" i="3"/>
  <c r="AI11" i="3"/>
  <c r="P16" i="11"/>
  <c r="P30" i="16"/>
  <c r="Q23" i="16"/>
  <c r="Q40" i="16"/>
  <c r="K5" i="21"/>
  <c r="K24" i="21" s="1"/>
  <c r="O8" i="8"/>
  <c r="O7" i="8" s="1"/>
  <c r="O31" i="8" s="1"/>
  <c r="P47" i="16"/>
  <c r="Q48" i="16"/>
  <c r="Q47" i="16" s="1"/>
  <c r="D26" i="21"/>
  <c r="H32" i="8"/>
  <c r="H33" i="8" s="1"/>
  <c r="O52" i="16"/>
  <c r="P53" i="16"/>
  <c r="O56" i="16"/>
  <c r="N55" i="16"/>
  <c r="Q50" i="16"/>
  <c r="Q7" i="16"/>
  <c r="Q27" i="16"/>
  <c r="S54" i="3"/>
  <c r="S51" i="3"/>
  <c r="I54" i="3"/>
  <c r="I51" i="3"/>
  <c r="P7" i="16"/>
  <c r="P50" i="16"/>
  <c r="Q44" i="16"/>
  <c r="F45" i="20"/>
  <c r="H44" i="20" s="1"/>
  <c r="J47" i="9"/>
  <c r="J48" i="9" s="1"/>
  <c r="N51" i="3"/>
  <c r="N54" i="3"/>
  <c r="X54" i="3"/>
  <c r="X51" i="3"/>
  <c r="AG28" i="4" l="1"/>
  <c r="L8" i="11"/>
  <c r="J33" i="11"/>
  <c r="X7" i="23"/>
  <c r="X25" i="8"/>
  <c r="X11" i="8"/>
  <c r="X38" i="7" s="1"/>
  <c r="X45" i="7"/>
  <c r="Z7" i="23"/>
  <c r="Z25" i="8"/>
  <c r="Z11" i="8"/>
  <c r="Z45" i="7"/>
  <c r="Y7" i="23"/>
  <c r="Y25" i="8"/>
  <c r="Y11" i="8"/>
  <c r="Y45" i="7"/>
  <c r="X6" i="23"/>
  <c r="X9" i="8" s="1"/>
  <c r="X13" i="23"/>
  <c r="Y6" i="23"/>
  <c r="Y9" i="8" s="1"/>
  <c r="Y13" i="23"/>
  <c r="Y17" i="8" s="1"/>
  <c r="Y15" i="8" s="1"/>
  <c r="Z13" i="23"/>
  <c r="Z17" i="8" s="1"/>
  <c r="Z15" i="8" s="1"/>
  <c r="AA17" i="4"/>
  <c r="AA48" i="3"/>
  <c r="AG22" i="3"/>
  <c r="AF38" i="3"/>
  <c r="AB45" i="3"/>
  <c r="AC45" i="3"/>
  <c r="AC32" i="3" s="1"/>
  <c r="AB7" i="4"/>
  <c r="J4" i="11"/>
  <c r="K50" i="14"/>
  <c r="AD7" i="4"/>
  <c r="AF8" i="3"/>
  <c r="AE20" i="3"/>
  <c r="Q43" i="16"/>
  <c r="D28" i="21"/>
  <c r="E25" i="21"/>
  <c r="P56" i="16"/>
  <c r="O55" i="16"/>
  <c r="Q53" i="16"/>
  <c r="Q52" i="16" s="1"/>
  <c r="P52" i="16"/>
  <c r="H45" i="20"/>
  <c r="I44" i="20" s="1"/>
  <c r="L44" i="20"/>
  <c r="L47" i="9"/>
  <c r="L48" i="9" s="1"/>
  <c r="Q30" i="16"/>
  <c r="J16" i="11" l="1"/>
  <c r="G26" i="11"/>
  <c r="AH28" i="4"/>
  <c r="M8" i="11"/>
  <c r="X10" i="23"/>
  <c r="Y10" i="23" s="1"/>
  <c r="Z10" i="23" s="1"/>
  <c r="X17" i="8"/>
  <c r="J10" i="11"/>
  <c r="Y53" i="7"/>
  <c r="Y50" i="7"/>
  <c r="X53" i="7"/>
  <c r="X12" i="7" s="1"/>
  <c r="X50" i="7"/>
  <c r="Y38" i="7"/>
  <c r="Z38" i="7" s="1"/>
  <c r="Z6" i="23"/>
  <c r="Z9" i="8" s="1"/>
  <c r="AA43" i="4"/>
  <c r="AA44" i="4" s="1"/>
  <c r="AC17" i="4"/>
  <c r="AC48" i="3"/>
  <c r="AD45" i="3"/>
  <c r="AA53" i="3"/>
  <c r="AA50" i="3"/>
  <c r="AA8" i="4" s="1"/>
  <c r="AH22" i="3"/>
  <c r="AG38" i="3"/>
  <c r="AC7" i="4"/>
  <c r="AB32" i="3"/>
  <c r="AE28" i="3"/>
  <c r="AE6" i="3" s="1"/>
  <c r="AE6" i="4" s="1"/>
  <c r="AE35" i="3"/>
  <c r="AG8" i="3"/>
  <c r="AF20" i="3"/>
  <c r="K45" i="14"/>
  <c r="K40" i="14"/>
  <c r="K41" i="14" s="1"/>
  <c r="K23" i="14"/>
  <c r="K26" i="14"/>
  <c r="K27" i="14" s="1"/>
  <c r="K31" i="14"/>
  <c r="K32" i="14" s="1"/>
  <c r="K35" i="14"/>
  <c r="K36" i="14" s="1"/>
  <c r="E26" i="21"/>
  <c r="I32" i="8"/>
  <c r="I33" i="8" s="1"/>
  <c r="I45" i="20"/>
  <c r="J44" i="20" s="1"/>
  <c r="M47" i="9"/>
  <c r="M48" i="9" s="1"/>
  <c r="P55" i="16"/>
  <c r="Q56" i="16"/>
  <c r="Q55" i="16" s="1"/>
  <c r="AA12" i="4" l="1"/>
  <c r="AI28" i="4"/>
  <c r="O8" i="11" s="1"/>
  <c r="N8" i="11"/>
  <c r="AA7" i="23"/>
  <c r="AA25" i="8"/>
  <c r="AA11" i="8"/>
  <c r="AA45" i="7"/>
  <c r="AA10" i="4"/>
  <c r="W46" i="7"/>
  <c r="AA38" i="7"/>
  <c r="X11" i="7"/>
  <c r="Y11" i="7"/>
  <c r="Z50" i="7"/>
  <c r="Y12" i="7"/>
  <c r="Z53" i="7"/>
  <c r="Z12" i="7" s="1"/>
  <c r="X15" i="8"/>
  <c r="J11" i="11"/>
  <c r="X16" i="7"/>
  <c r="AA6" i="23"/>
  <c r="AA9" i="8" s="1"/>
  <c r="K10" i="11" s="1"/>
  <c r="AA13" i="23"/>
  <c r="AC43" i="4"/>
  <c r="AC44" i="4" s="1"/>
  <c r="AD32" i="3"/>
  <c r="AB17" i="4"/>
  <c r="AB48" i="3"/>
  <c r="AC53" i="3"/>
  <c r="AC12" i="4" s="1"/>
  <c r="AC50" i="3"/>
  <c r="AC8" i="4" s="1"/>
  <c r="AH38" i="3"/>
  <c r="AI22" i="3"/>
  <c r="AI38" i="3" s="1"/>
  <c r="AE45" i="3"/>
  <c r="AE32" i="3" s="1"/>
  <c r="AF28" i="3"/>
  <c r="AF6" i="3" s="1"/>
  <c r="AF6" i="4" s="1"/>
  <c r="AF35" i="3"/>
  <c r="AH8" i="3"/>
  <c r="AG20" i="3"/>
  <c r="L50" i="14"/>
  <c r="K4" i="11"/>
  <c r="AE7" i="4"/>
  <c r="E28" i="21"/>
  <c r="F25" i="21"/>
  <c r="J45" i="20"/>
  <c r="K44" i="20" s="1"/>
  <c r="N47" i="9"/>
  <c r="N48" i="9" s="1"/>
  <c r="W47" i="7" l="1"/>
  <c r="W58" i="7" s="1"/>
  <c r="W25" i="7" s="1"/>
  <c r="Y47" i="7"/>
  <c r="Y58" i="7" s="1"/>
  <c r="AB7" i="23"/>
  <c r="AB25" i="8"/>
  <c r="AB11" i="8"/>
  <c r="AB45" i="7"/>
  <c r="AC10" i="4"/>
  <c r="Y46" i="7"/>
  <c r="Y25" i="7"/>
  <c r="Z58" i="7"/>
  <c r="Z25" i="7" s="1"/>
  <c r="AA10" i="23"/>
  <c r="AA17" i="8"/>
  <c r="Y16" i="7"/>
  <c r="X14" i="7"/>
  <c r="Z11" i="7"/>
  <c r="AB38" i="7"/>
  <c r="W67" i="7"/>
  <c r="W27" i="7" s="1"/>
  <c r="W64" i="7"/>
  <c r="W24" i="7" s="1"/>
  <c r="W61" i="7"/>
  <c r="AA53" i="7"/>
  <c r="AA12" i="7" s="1"/>
  <c r="AA50" i="7"/>
  <c r="AB6" i="23"/>
  <c r="AB9" i="8" s="1"/>
  <c r="L10" i="11" s="1"/>
  <c r="AB13" i="23"/>
  <c r="J7" i="11"/>
  <c r="J9" i="11" s="1"/>
  <c r="AB43" i="4"/>
  <c r="AB44" i="4" s="1"/>
  <c r="AE17" i="4"/>
  <c r="AE48" i="3"/>
  <c r="AB53" i="3"/>
  <c r="AB50" i="3"/>
  <c r="AB8" i="4" s="1"/>
  <c r="AD17" i="4"/>
  <c r="AD48" i="3"/>
  <c r="AD50" i="3" s="1"/>
  <c r="AD8" i="4" s="1"/>
  <c r="AF45" i="3"/>
  <c r="AF32" i="3" s="1"/>
  <c r="L45" i="14"/>
  <c r="L40" i="14"/>
  <c r="L41" i="14" s="1"/>
  <c r="L23" i="14"/>
  <c r="L26" i="14"/>
  <c r="L27" i="14" s="1"/>
  <c r="L31" i="14"/>
  <c r="L32" i="14" s="1"/>
  <c r="L35" i="14"/>
  <c r="L36" i="14" s="1"/>
  <c r="AG28" i="3"/>
  <c r="AG6" i="3" s="1"/>
  <c r="AG6" i="4" s="1"/>
  <c r="AG35" i="3"/>
  <c r="AI8" i="3"/>
  <c r="AH20" i="3"/>
  <c r="M50" i="14"/>
  <c r="L4" i="11"/>
  <c r="L5" i="11" s="1"/>
  <c r="AF7" i="4"/>
  <c r="K45" i="20"/>
  <c r="M44" i="20" s="1"/>
  <c r="O47" i="9"/>
  <c r="O48" i="9" s="1"/>
  <c r="F26" i="21"/>
  <c r="J32" i="8"/>
  <c r="AC7" i="23" l="1"/>
  <c r="AC25" i="8"/>
  <c r="AC11" i="8"/>
  <c r="AC45" i="7"/>
  <c r="AD10" i="4"/>
  <c r="Z46" i="7"/>
  <c r="AB10" i="4"/>
  <c r="X46" i="7"/>
  <c r="AB10" i="23"/>
  <c r="AB17" i="8"/>
  <c r="AA11" i="7"/>
  <c r="W26" i="7"/>
  <c r="W42" i="7"/>
  <c r="W43" i="7" s="1"/>
  <c r="W23" i="7"/>
  <c r="W21" i="7" s="1"/>
  <c r="AC38" i="7"/>
  <c r="Z16" i="7"/>
  <c r="Y14" i="7"/>
  <c r="AA15" i="8"/>
  <c r="K11" i="11"/>
  <c r="Y67" i="7"/>
  <c r="Y64" i="7"/>
  <c r="Y61" i="7"/>
  <c r="AB53" i="7"/>
  <c r="AB12" i="7" s="1"/>
  <c r="AB50" i="7"/>
  <c r="AC6" i="23"/>
  <c r="AC9" i="8" s="1"/>
  <c r="M10" i="11" s="1"/>
  <c r="AC13" i="23"/>
  <c r="AC17" i="8" s="1"/>
  <c r="AC10" i="23"/>
  <c r="AD43" i="4"/>
  <c r="AD53" i="3"/>
  <c r="AD12" i="4" s="1"/>
  <c r="AB12" i="4"/>
  <c r="K7" i="11"/>
  <c r="K9" i="11" s="1"/>
  <c r="AE43" i="4"/>
  <c r="AF17" i="4"/>
  <c r="AF48" i="3"/>
  <c r="AE53" i="3"/>
  <c r="AE12" i="4" s="1"/>
  <c r="AE50" i="3"/>
  <c r="AE8" i="4" s="1"/>
  <c r="AG45" i="3"/>
  <c r="AG32" i="3" s="1"/>
  <c r="M45" i="14"/>
  <c r="M40" i="14"/>
  <c r="M41" i="14" s="1"/>
  <c r="M23" i="14"/>
  <c r="M26" i="14"/>
  <c r="M27" i="14" s="1"/>
  <c r="M31" i="14"/>
  <c r="M32" i="14" s="1"/>
  <c r="M35" i="14"/>
  <c r="M36" i="14" s="1"/>
  <c r="AH28" i="3"/>
  <c r="AH6" i="3" s="1"/>
  <c r="AH6" i="4" s="1"/>
  <c r="AH35" i="3"/>
  <c r="AI20" i="3"/>
  <c r="AG7" i="4"/>
  <c r="M4" i="11"/>
  <c r="M5" i="11" s="1"/>
  <c r="Q44" i="20"/>
  <c r="M45" i="20"/>
  <c r="N44" i="20" s="1"/>
  <c r="Q47" i="9"/>
  <c r="Q48" i="9" s="1"/>
  <c r="F28" i="21"/>
  <c r="H25" i="21"/>
  <c r="AA47" i="7" l="1"/>
  <c r="AA58" i="7" s="1"/>
  <c r="X47" i="7"/>
  <c r="X58" i="7" s="1"/>
  <c r="AB13" i="4"/>
  <c r="AB14" i="4"/>
  <c r="AB15" i="4"/>
  <c r="Z47" i="7"/>
  <c r="AD7" i="23"/>
  <c r="AD25" i="8"/>
  <c r="AD11" i="8"/>
  <c r="AD45" i="7"/>
  <c r="AE10" i="4"/>
  <c r="AA46" i="7"/>
  <c r="AA25" i="7"/>
  <c r="X25" i="7"/>
  <c r="AC15" i="8"/>
  <c r="M11" i="11"/>
  <c r="AB11" i="7"/>
  <c r="Z61" i="7"/>
  <c r="Y26" i="7"/>
  <c r="Y42" i="7"/>
  <c r="Y24" i="7"/>
  <c r="Z64" i="7"/>
  <c r="Z24" i="7" s="1"/>
  <c r="Z67" i="7"/>
  <c r="Z27" i="7" s="1"/>
  <c r="Y27" i="7"/>
  <c r="AA16" i="7"/>
  <c r="Z14" i="7"/>
  <c r="AD38" i="7"/>
  <c r="W10" i="8"/>
  <c r="AB15" i="8"/>
  <c r="L11" i="11"/>
  <c r="X67" i="7"/>
  <c r="X27" i="7" s="1"/>
  <c r="X64" i="7"/>
  <c r="X24" i="7" s="1"/>
  <c r="X61" i="7"/>
  <c r="AC53" i="7"/>
  <c r="AC12" i="7" s="1"/>
  <c r="AC50" i="7"/>
  <c r="AD6" i="23"/>
  <c r="AD9" i="8" s="1"/>
  <c r="N10" i="11" s="1"/>
  <c r="AD13" i="23"/>
  <c r="L7" i="11"/>
  <c r="L9" i="11" s="1"/>
  <c r="AF43" i="4"/>
  <c r="AE44" i="4"/>
  <c r="P50" i="14"/>
  <c r="AD44" i="4"/>
  <c r="O50" i="14"/>
  <c r="AG17" i="4"/>
  <c r="AG48" i="3"/>
  <c r="AF53" i="3"/>
  <c r="AF12" i="4" s="1"/>
  <c r="AF50" i="3"/>
  <c r="AF8" i="4" s="1"/>
  <c r="AH45" i="3"/>
  <c r="AH32" i="3" s="1"/>
  <c r="AI28" i="3"/>
  <c r="AI6" i="3" s="1"/>
  <c r="AI6" i="4" s="1"/>
  <c r="AI35" i="3"/>
  <c r="AH7" i="4"/>
  <c r="N4" i="11"/>
  <c r="N5" i="11" s="1"/>
  <c r="H26" i="21"/>
  <c r="L32" i="8"/>
  <c r="L33" i="8" s="1"/>
  <c r="N45" i="20"/>
  <c r="O44" i="20" s="1"/>
  <c r="R47" i="9"/>
  <c r="R48" i="9" s="1"/>
  <c r="AB47" i="7" l="1"/>
  <c r="AB58" i="7" s="1"/>
  <c r="AC14" i="4"/>
  <c r="AC15" i="4"/>
  <c r="AC13" i="4"/>
  <c r="AD13" i="4" s="1"/>
  <c r="AE7" i="23"/>
  <c r="AE25" i="8"/>
  <c r="AE11" i="8"/>
  <c r="AE45" i="7"/>
  <c r="AF10" i="4"/>
  <c r="AB46" i="7"/>
  <c r="AB25" i="7"/>
  <c r="AD10" i="23"/>
  <c r="AD17" i="8"/>
  <c r="AC11" i="7"/>
  <c r="X26" i="7"/>
  <c r="X42" i="7"/>
  <c r="X43" i="7" s="1"/>
  <c r="X23" i="7"/>
  <c r="X21" i="7" s="1"/>
  <c r="AE38" i="7"/>
  <c r="AB16" i="7"/>
  <c r="AA14" i="7"/>
  <c r="Y23" i="7"/>
  <c r="Y21" i="7" s="1"/>
  <c r="Y43" i="7"/>
  <c r="Y10" i="8" s="1"/>
  <c r="Z26" i="7"/>
  <c r="Z23" i="7" s="1"/>
  <c r="Z21" i="7" s="1"/>
  <c r="Z42" i="7"/>
  <c r="AA67" i="7"/>
  <c r="AA27" i="7" s="1"/>
  <c r="AA64" i="7"/>
  <c r="AA24" i="7" s="1"/>
  <c r="AA61" i="7"/>
  <c r="AD53" i="7"/>
  <c r="AD12" i="7" s="1"/>
  <c r="AD50" i="7"/>
  <c r="AE6" i="23"/>
  <c r="AE9" i="8" s="1"/>
  <c r="O10" i="11" s="1"/>
  <c r="AE13" i="23"/>
  <c r="AE17" i="8" s="1"/>
  <c r="AE10" i="23"/>
  <c r="M7" i="11"/>
  <c r="M9" i="11" s="1"/>
  <c r="AG43" i="4"/>
  <c r="AG44" i="4" s="1"/>
  <c r="O45" i="14"/>
  <c r="O40" i="14"/>
  <c r="O41" i="14" s="1"/>
  <c r="O35" i="14"/>
  <c r="O36" i="14" s="1"/>
  <c r="O31" i="14"/>
  <c r="O32" i="14" s="1"/>
  <c r="O26" i="14"/>
  <c r="O27" i="14" s="1"/>
  <c r="O23" i="14"/>
  <c r="P45" i="14"/>
  <c r="P40" i="14"/>
  <c r="P41" i="14" s="1"/>
  <c r="P35" i="14"/>
  <c r="P36" i="14" s="1"/>
  <c r="P31" i="14"/>
  <c r="P32" i="14" s="1"/>
  <c r="P26" i="14"/>
  <c r="P27" i="14" s="1"/>
  <c r="P23" i="14"/>
  <c r="AF44" i="4"/>
  <c r="Q50" i="14"/>
  <c r="AH17" i="4"/>
  <c r="AH48" i="3"/>
  <c r="AG53" i="3"/>
  <c r="AG12" i="4" s="1"/>
  <c r="AG50" i="3"/>
  <c r="AG8" i="4" s="1"/>
  <c r="AI45" i="3"/>
  <c r="AI32" i="3" s="1"/>
  <c r="AI7" i="4"/>
  <c r="O4" i="11"/>
  <c r="O5" i="11" s="1"/>
  <c r="H28" i="21"/>
  <c r="I25" i="21"/>
  <c r="O45" i="20"/>
  <c r="P44" i="20" s="1"/>
  <c r="S47" i="9"/>
  <c r="S48" i="9" s="1"/>
  <c r="AC47" i="7" l="1"/>
  <c r="AC58" i="7" s="1"/>
  <c r="AD15" i="4"/>
  <c r="AD14" i="4"/>
  <c r="AG10" i="4"/>
  <c r="AC46" i="7"/>
  <c r="AC25" i="7"/>
  <c r="AE15" i="8"/>
  <c r="O11" i="11"/>
  <c r="AD11" i="7"/>
  <c r="AA26" i="7"/>
  <c r="AA42" i="7"/>
  <c r="AA43" i="7" s="1"/>
  <c r="AA10" i="8" s="1"/>
  <c r="K12" i="11" s="1"/>
  <c r="K13" i="11" s="1"/>
  <c r="AA23" i="7"/>
  <c r="AA21" i="7" s="1"/>
  <c r="AC16" i="7"/>
  <c r="AB14" i="7"/>
  <c r="X10" i="8"/>
  <c r="J12" i="11" s="1"/>
  <c r="J13" i="11" s="1"/>
  <c r="Z43" i="7"/>
  <c r="Z10" i="8" s="1"/>
  <c r="AD15" i="8"/>
  <c r="N11" i="11"/>
  <c r="AB67" i="7"/>
  <c r="AB27" i="7" s="1"/>
  <c r="AB64" i="7"/>
  <c r="AB24" i="7" s="1"/>
  <c r="AB61" i="7"/>
  <c r="AE53" i="7"/>
  <c r="AE12" i="7" s="1"/>
  <c r="AE50" i="7"/>
  <c r="N7" i="11"/>
  <c r="N9" i="11" s="1"/>
  <c r="AH43" i="4"/>
  <c r="AH44" i="4" s="1"/>
  <c r="Q45" i="14"/>
  <c r="Q40" i="14"/>
  <c r="Q41" i="14" s="1"/>
  <c r="Q35" i="14"/>
  <c r="Q36" i="14" s="1"/>
  <c r="Q31" i="14"/>
  <c r="Q32" i="14" s="1"/>
  <c r="Q26" i="14"/>
  <c r="Q27" i="14" s="1"/>
  <c r="Q23" i="14"/>
  <c r="AI17" i="4"/>
  <c r="AI48" i="3"/>
  <c r="AH53" i="3"/>
  <c r="AH12" i="4" s="1"/>
  <c r="AH50" i="3"/>
  <c r="AH8" i="4" s="1"/>
  <c r="P45" i="20"/>
  <c r="R44" i="20" s="1"/>
  <c r="T47" i="9"/>
  <c r="T48" i="9" s="1"/>
  <c r="I26" i="21"/>
  <c r="M32" i="8"/>
  <c r="M33" i="8" s="1"/>
  <c r="AD47" i="7" l="1"/>
  <c r="AD58" i="7" s="1"/>
  <c r="AE14" i="4"/>
  <c r="AE13" i="4"/>
  <c r="AE15" i="4"/>
  <c r="AF15" i="4" s="1"/>
  <c r="AH10" i="4"/>
  <c r="AD46" i="7"/>
  <c r="AD25" i="7"/>
  <c r="AE11" i="7"/>
  <c r="AB26" i="7"/>
  <c r="AB42" i="7"/>
  <c r="AB43" i="7" s="1"/>
  <c r="AB10" i="8" s="1"/>
  <c r="L12" i="11" s="1"/>
  <c r="L13" i="11" s="1"/>
  <c r="AB23" i="7"/>
  <c r="AB21" i="7" s="1"/>
  <c r="J19" i="11"/>
  <c r="J22" i="11"/>
  <c r="J23" i="11" s="1"/>
  <c r="AD16" i="7"/>
  <c r="AC14" i="7"/>
  <c r="K22" i="11"/>
  <c r="K23" i="11" s="1"/>
  <c r="K19" i="11"/>
  <c r="AC67" i="7"/>
  <c r="AC27" i="7" s="1"/>
  <c r="AC64" i="7"/>
  <c r="AC24" i="7" s="1"/>
  <c r="AC61" i="7"/>
  <c r="O7" i="11"/>
  <c r="O9" i="11" s="1"/>
  <c r="AI43" i="4"/>
  <c r="AI44" i="4" s="1"/>
  <c r="AI53" i="3"/>
  <c r="AI50" i="3"/>
  <c r="AI8" i="4" s="1"/>
  <c r="J25" i="21"/>
  <c r="I28" i="21"/>
  <c r="R45" i="20"/>
  <c r="V47" i="9"/>
  <c r="V48" i="9" s="1"/>
  <c r="AI12" i="4" l="1"/>
  <c r="AF13" i="4"/>
  <c r="AF14" i="4"/>
  <c r="AG14" i="4" s="1"/>
  <c r="AI10" i="4"/>
  <c r="AE46" i="7"/>
  <c r="AC26" i="7"/>
  <c r="AC42" i="7"/>
  <c r="AC43" i="7" s="1"/>
  <c r="AC10" i="8" s="1"/>
  <c r="M12" i="11" s="1"/>
  <c r="M13" i="11" s="1"/>
  <c r="AC23" i="7"/>
  <c r="AC21" i="7" s="1"/>
  <c r="AE16" i="7"/>
  <c r="AE14" i="7" s="1"/>
  <c r="AD14" i="7"/>
  <c r="L22" i="11"/>
  <c r="L23" i="11" s="1"/>
  <c r="L19" i="11"/>
  <c r="AD67" i="7"/>
  <c r="AD27" i="7" s="1"/>
  <c r="AD64" i="7"/>
  <c r="AD24" i="7" s="1"/>
  <c r="AD61" i="7"/>
  <c r="J26" i="21"/>
  <c r="N32" i="8"/>
  <c r="N33" i="8" s="1"/>
  <c r="AG13" i="4" l="1"/>
  <c r="AG15" i="4"/>
  <c r="AH15" i="4" s="1"/>
  <c r="AE47" i="7"/>
  <c r="AE58" i="7" s="1"/>
  <c r="AE25" i="7" s="1"/>
  <c r="AD26" i="7"/>
  <c r="AD42" i="7"/>
  <c r="AD43" i="7" s="1"/>
  <c r="AD10" i="8" s="1"/>
  <c r="N12" i="11" s="1"/>
  <c r="N13" i="11" s="1"/>
  <c r="AD23" i="7"/>
  <c r="AD21" i="7" s="1"/>
  <c r="M22" i="11"/>
  <c r="M23" i="11" s="1"/>
  <c r="M19" i="11"/>
  <c r="AE67" i="7"/>
  <c r="AE27" i="7" s="1"/>
  <c r="AE64" i="7"/>
  <c r="AE24" i="7" s="1"/>
  <c r="AE61" i="7"/>
  <c r="J28" i="21"/>
  <c r="K25" i="21"/>
  <c r="AH13" i="4" l="1"/>
  <c r="AH14" i="4"/>
  <c r="AI14" i="4" s="1"/>
  <c r="AE26" i="7"/>
  <c r="AE42" i="7"/>
  <c r="AE43" i="7" s="1"/>
  <c r="AE10" i="8" s="1"/>
  <c r="O12" i="11" s="1"/>
  <c r="O13" i="11" s="1"/>
  <c r="AE23" i="7"/>
  <c r="AE21" i="7" s="1"/>
  <c r="N19" i="11"/>
  <c r="N22" i="11"/>
  <c r="N23" i="11" s="1"/>
  <c r="K26" i="21"/>
  <c r="O32" i="8"/>
  <c r="O33" i="8" s="1"/>
  <c r="AI15" i="4" l="1"/>
  <c r="AI13" i="4"/>
  <c r="G25" i="11"/>
  <c r="G28" i="11" s="1"/>
  <c r="P13" i="11" s="1"/>
  <c r="P19" i="11" s="1"/>
  <c r="D38" i="11" s="1"/>
  <c r="O19" i="11"/>
  <c r="G13" i="11" s="1"/>
  <c r="G14" i="11" s="1"/>
  <c r="G9" i="11" s="1"/>
  <c r="G10" i="11" s="1"/>
  <c r="O22" i="11"/>
  <c r="M25" i="21"/>
  <c r="K28" i="21"/>
  <c r="G32" i="11" l="1"/>
  <c r="O23" i="11"/>
  <c r="M26" i="21"/>
  <c r="Q32" i="8"/>
  <c r="Q33" i="8" s="1"/>
  <c r="G35" i="11" l="1"/>
  <c r="P22" i="11"/>
  <c r="P23" i="11" s="1"/>
  <c r="M28" i="21"/>
  <c r="N25" i="21"/>
  <c r="D41" i="11" l="1"/>
  <c r="G21" i="11"/>
  <c r="G17" i="11" s="1"/>
  <c r="G18" i="11" s="1"/>
  <c r="N26" i="21"/>
  <c r="R32" i="8"/>
  <c r="R33" i="8" s="1"/>
  <c r="R3" i="11" l="1"/>
  <c r="R10" i="11"/>
  <c r="N28" i="21"/>
  <c r="O25" i="21"/>
  <c r="O26" i="21" l="1"/>
  <c r="S32" i="8"/>
  <c r="S33" i="8" s="1"/>
  <c r="O28" i="21" l="1"/>
  <c r="P25" i="21"/>
  <c r="P26" i="21" l="1"/>
  <c r="T32" i="8"/>
  <c r="T33" i="8" s="1"/>
  <c r="P28" i="21" l="1"/>
  <c r="R25" i="21"/>
  <c r="R26" i="21" l="1"/>
  <c r="R28" i="21" s="1"/>
  <c r="W4" i="7"/>
  <c r="X4" i="7"/>
  <c r="Y4" i="7"/>
  <c r="Z4" i="7"/>
  <c r="AA4" i="7"/>
  <c r="AB4" i="7"/>
  <c r="AC4" i="7"/>
  <c r="AD4" i="7"/>
  <c r="AE4" i="7"/>
  <c r="W7" i="7"/>
  <c r="X7" i="7"/>
  <c r="Y7" i="7"/>
  <c r="Z7" i="7"/>
  <c r="AA7" i="7"/>
  <c r="AB7" i="7"/>
  <c r="AC7" i="7"/>
  <c r="AD7" i="7"/>
  <c r="AE7" i="7"/>
  <c r="W9" i="7"/>
  <c r="X9" i="7"/>
  <c r="Y9" i="7"/>
  <c r="Z9" i="7"/>
  <c r="AA9" i="7"/>
  <c r="AB9" i="7"/>
  <c r="AC9" i="7"/>
  <c r="AD9" i="7"/>
  <c r="AE9" i="7"/>
  <c r="W10" i="7"/>
  <c r="X10" i="7"/>
  <c r="Y10" i="7"/>
  <c r="Z10" i="7"/>
  <c r="AA10" i="7"/>
  <c r="AB10" i="7"/>
  <c r="AC10" i="7"/>
  <c r="AD10" i="7"/>
  <c r="AE10" i="7"/>
  <c r="W35" i="7"/>
  <c r="X35" i="7"/>
  <c r="Y35" i="7"/>
  <c r="Z35" i="7"/>
  <c r="AA35" i="7"/>
  <c r="AB35" i="7"/>
  <c r="AC35" i="7"/>
  <c r="AD35" i="7"/>
  <c r="AE35" i="7"/>
  <c r="W37" i="7"/>
  <c r="X37" i="7"/>
  <c r="Y37" i="7"/>
  <c r="Z37" i="7"/>
  <c r="AA37" i="7"/>
  <c r="AB37" i="7"/>
  <c r="AC37" i="7"/>
  <c r="AD37" i="7"/>
  <c r="AE37" i="7"/>
  <c r="W40" i="7"/>
  <c r="X40" i="7"/>
  <c r="Y40" i="7"/>
  <c r="Z40" i="7"/>
  <c r="AA40" i="7"/>
  <c r="AB40" i="7"/>
  <c r="AC40" i="7"/>
  <c r="AD40" i="7"/>
  <c r="AE40" i="7"/>
  <c r="J7" i="8"/>
  <c r="W7" i="8"/>
  <c r="X7" i="8"/>
  <c r="Y7" i="8"/>
  <c r="Z7" i="8"/>
  <c r="AA7" i="8"/>
  <c r="AB7" i="8"/>
  <c r="AC7" i="8"/>
  <c r="AD7" i="8"/>
  <c r="AE7" i="8"/>
  <c r="W8" i="8"/>
  <c r="X8" i="8"/>
  <c r="Y8" i="8"/>
  <c r="Z8" i="8"/>
  <c r="AA8" i="8"/>
  <c r="AB8" i="8"/>
  <c r="AC8" i="8"/>
  <c r="AD8" i="8"/>
  <c r="AE8" i="8"/>
  <c r="J10" i="8"/>
  <c r="W20" i="8"/>
  <c r="X20" i="8"/>
  <c r="Y20" i="8"/>
  <c r="Z20" i="8"/>
  <c r="AA20" i="8"/>
  <c r="AB20" i="8"/>
  <c r="AC20" i="8"/>
  <c r="AD20" i="8"/>
  <c r="AE20" i="8"/>
  <c r="W23" i="8"/>
  <c r="X23" i="8"/>
  <c r="Y23" i="8"/>
  <c r="Z23" i="8"/>
  <c r="AA23" i="8"/>
  <c r="AB23" i="8"/>
  <c r="AC23" i="8"/>
  <c r="AD23" i="8"/>
  <c r="AE23" i="8"/>
  <c r="W24" i="8"/>
  <c r="X24" i="8"/>
  <c r="Y24" i="8"/>
  <c r="Z24" i="8"/>
  <c r="AA24" i="8"/>
  <c r="AB24" i="8"/>
  <c r="AC24" i="8"/>
  <c r="AD24" i="8"/>
  <c r="AE24" i="8"/>
  <c r="J31" i="8"/>
  <c r="W31" i="8"/>
  <c r="X31" i="8"/>
  <c r="Y31" i="8"/>
  <c r="Z31" i="8"/>
  <c r="AA31" i="8"/>
  <c r="AB31" i="8"/>
  <c r="AC31" i="8"/>
  <c r="AD31" i="8"/>
  <c r="AE31" i="8"/>
  <c r="X32" i="8"/>
  <c r="Y32" i="8"/>
  <c r="AA32" i="8"/>
  <c r="AB32" i="8"/>
  <c r="AC32" i="8"/>
  <c r="AD32" i="8"/>
  <c r="AE32" i="8"/>
  <c r="J33" i="8"/>
  <c r="W33" i="8"/>
  <c r="X33" i="8"/>
  <c r="Y33" i="8"/>
  <c r="Z33" i="8"/>
  <c r="AA33" i="8"/>
  <c r="AB33" i="8"/>
  <c r="AC33" i="8"/>
  <c r="AD33" i="8"/>
  <c r="AE33" i="8"/>
  <c r="G23" i="14"/>
  <c r="H23" i="14"/>
  <c r="I23" i="14"/>
  <c r="V25" i="14"/>
  <c r="G26" i="14"/>
  <c r="H26" i="14"/>
  <c r="I26" i="14"/>
  <c r="V26" i="14"/>
  <c r="G27" i="14"/>
  <c r="H27" i="14"/>
  <c r="I27" i="14"/>
  <c r="V27" i="14"/>
  <c r="V28" i="14"/>
  <c r="G31" i="14"/>
  <c r="H31" i="14"/>
  <c r="I31" i="14"/>
  <c r="G32" i="14"/>
  <c r="H32" i="14"/>
  <c r="I32" i="14"/>
  <c r="U34" i="14"/>
  <c r="G35" i="14"/>
  <c r="H35" i="14"/>
  <c r="I35" i="14"/>
  <c r="U35" i="14"/>
  <c r="G36" i="14"/>
  <c r="H36" i="14"/>
  <c r="I36" i="14"/>
  <c r="U36" i="14"/>
  <c r="G40" i="14"/>
  <c r="H40" i="14"/>
  <c r="I40" i="14"/>
  <c r="G41" i="14"/>
  <c r="H41" i="14"/>
  <c r="I41" i="14"/>
  <c r="G45" i="14"/>
  <c r="H45" i="14"/>
  <c r="I45" i="14"/>
  <c r="G50" i="14"/>
  <c r="H50" i="14"/>
  <c r="I50" i="14"/>
  <c r="W18" i="5"/>
  <c r="X18" i="5"/>
  <c r="Y18" i="5"/>
  <c r="Z18" i="5"/>
  <c r="AA18" i="5"/>
  <c r="AB18" i="5"/>
  <c r="AC18" i="5"/>
  <c r="AD18" i="5"/>
  <c r="AE18" i="5"/>
  <c r="AA19" i="4"/>
  <c r="AB19" i="4"/>
  <c r="AC19" i="4"/>
  <c r="AD19" i="4"/>
  <c r="AE19" i="4"/>
  <c r="AF19" i="4"/>
  <c r="AG19" i="4"/>
  <c r="AH19" i="4"/>
  <c r="AI19" i="4"/>
  <c r="AA21" i="4"/>
  <c r="AB21" i="4"/>
  <c r="AC21" i="4"/>
  <c r="AD21" i="4"/>
  <c r="AE21" i="4"/>
  <c r="AF21" i="4"/>
  <c r="AG21" i="4"/>
  <c r="AH21" i="4"/>
  <c r="AI21" i="4"/>
  <c r="AA25" i="4"/>
  <c r="AB25" i="4"/>
  <c r="AC25" i="4"/>
  <c r="AD25" i="4"/>
  <c r="AE25" i="4"/>
  <c r="AF25" i="4"/>
  <c r="AG25" i="4"/>
  <c r="AH25" i="4"/>
  <c r="AI25" i="4"/>
  <c r="AA27" i="4"/>
  <c r="AB27" i="4"/>
  <c r="AC27" i="4"/>
  <c r="AD27" i="4"/>
  <c r="AE27" i="4"/>
  <c r="AF27" i="4"/>
  <c r="AG27" i="4"/>
  <c r="AH27" i="4"/>
  <c r="AI27" i="4"/>
  <c r="AA29" i="4"/>
  <c r="AB29" i="4"/>
  <c r="AC29" i="4"/>
  <c r="AD29" i="4"/>
  <c r="AE29" i="4"/>
  <c r="AF29" i="4"/>
  <c r="AG29" i="4"/>
  <c r="AH29" i="4"/>
  <c r="AI29" i="4"/>
  <c r="AA32" i="4"/>
  <c r="AB32" i="4"/>
  <c r="AC32" i="4"/>
  <c r="AD32" i="4"/>
  <c r="AE32" i="4"/>
  <c r="AF32" i="4"/>
  <c r="AG32" i="4"/>
  <c r="AH32" i="4"/>
  <c r="AI32" i="4"/>
  <c r="AA35" i="4"/>
  <c r="AB35" i="4"/>
  <c r="AC35" i="4"/>
  <c r="AD35" i="4"/>
  <c r="AE35" i="4"/>
  <c r="AF35" i="4"/>
  <c r="AG35" i="4"/>
  <c r="AH35" i="4"/>
  <c r="AI35" i="4"/>
  <c r="AA37" i="4"/>
  <c r="AB37" i="4"/>
  <c r="AC37" i="4"/>
  <c r="AD37" i="4"/>
  <c r="AE37" i="4"/>
  <c r="AF37" i="4"/>
  <c r="AG37" i="4"/>
  <c r="AH37" i="4"/>
  <c r="AI37" i="4"/>
  <c r="AA40" i="4"/>
  <c r="AB40" i="4"/>
  <c r="AC40" i="4"/>
  <c r="AD40" i="4"/>
  <c r="AE40" i="4"/>
  <c r="AF40" i="4"/>
  <c r="AG40" i="4"/>
  <c r="AH40" i="4"/>
  <c r="AI4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tc={B39C12DF-E4BE-4FFD-A40D-0CA39D26F704}</author>
    <author>tc={C60454EF-FC89-4B55-8D5E-D0D6003EBA68}</author>
    <author>tc={E811BCC0-E3D7-4407-89CF-F0993CB89814}</author>
  </authors>
  <commentList>
    <comment ref="F20" authorId="0" shapeId="0" xr:uid="{00000000-0006-0000-0300-000002000000}">
      <text>
        <r>
          <rPr>
            <sz val="10"/>
            <rFont val="Arial"/>
            <family val="2"/>
          </rPr>
          <t>Pedro:
Source: Alphabet 10-Q Q1 2022, Other income (expense) note</t>
        </r>
      </text>
    </comment>
    <comment ref="G20" authorId="0" shapeId="0" xr:uid="{00000000-0006-0000-0300-000005000000}">
      <text>
        <r>
          <rPr>
            <sz val="10"/>
            <rFont val="Arial"/>
            <family val="2"/>
          </rPr>
          <t>Pedro:
Source: Alphabet 10-Q Q2 2022, Other income (expense) note</t>
        </r>
      </text>
    </comment>
    <comment ref="H20" authorId="0" shapeId="0" xr:uid="{00000000-0006-0000-0300-000008000000}">
      <text>
        <r>
          <rPr>
            <sz val="10"/>
            <rFont val="Arial"/>
            <family val="2"/>
          </rPr>
          <t>Pedro:
Source: Alphabet 10-Q Q3 2022, Other income (expense) note</t>
        </r>
      </text>
    </comment>
    <comment ref="K20" authorId="0" shapeId="0" xr:uid="{00000000-0006-0000-0300-00000B000000}">
      <text>
        <r>
          <rPr>
            <sz val="10"/>
            <rFont val="Arial"/>
            <family val="2"/>
          </rPr>
          <t>Pedro:
Source: Alphabet 10-Q Q1 2023, Other income (expense) note</t>
        </r>
      </text>
    </comment>
    <comment ref="L20" authorId="0" shapeId="0" xr:uid="{00000000-0006-0000-0300-00000E000000}">
      <text>
        <r>
          <rPr>
            <sz val="10"/>
            <rFont val="Arial"/>
            <family val="2"/>
          </rPr>
          <t>Pedro:
Source: Alphabet 10-Q Q2 2023, Other income (expense) note</t>
        </r>
      </text>
    </comment>
    <comment ref="M20" authorId="0" shapeId="0" xr:uid="{00000000-0006-0000-0300-000011000000}">
      <text>
        <r>
          <rPr>
            <sz val="10"/>
            <rFont val="Arial"/>
            <family val="2"/>
          </rPr>
          <t>Pedro:
Source: Alphabet 10-Q Q3 2023, Other income (expense) note</t>
        </r>
      </text>
    </comment>
    <comment ref="P20" authorId="0" shapeId="0" xr:uid="{00000000-0006-0000-0300-000014000000}">
      <text>
        <r>
          <rPr>
            <sz val="10"/>
            <rFont val="Arial"/>
            <family val="2"/>
          </rPr>
          <t>Pedro:
Source: Alphabet 10-Q Q1 2024, Other income (expense) note</t>
        </r>
      </text>
    </comment>
    <comment ref="Q20" authorId="0" shapeId="0" xr:uid="{00000000-0006-0000-0300-000017000000}">
      <text>
        <r>
          <rPr>
            <sz val="10"/>
            <rFont val="Arial"/>
            <family val="2"/>
          </rPr>
          <t>Pedro:
Source: Alphabet 10-Q Q2 2024, Other income (expense) note</t>
        </r>
      </text>
    </comment>
    <comment ref="R20" authorId="0" shapeId="0" xr:uid="{00000000-0006-0000-0300-00001A000000}">
      <text>
        <r>
          <rPr>
            <sz val="10"/>
            <rFont val="Arial"/>
            <family val="2"/>
          </rPr>
          <t>Pedro:
Source: Alphabet 10-Q Q3 2024, Other income (expense) note</t>
        </r>
      </text>
    </comment>
    <comment ref="U20" authorId="0" shapeId="0" xr:uid="{00000000-0006-0000-0300-00001D000000}">
      <text>
        <r>
          <rPr>
            <sz val="10"/>
            <rFont val="Arial"/>
            <family val="2"/>
          </rPr>
          <t>Pedro:
Source: Alphabet 10-Q Q1 2025, Other income (expense) note</t>
        </r>
      </text>
    </comment>
    <comment ref="V20" authorId="0" shapeId="0" xr:uid="{00000000-0006-0000-0300-000020000000}">
      <text>
        <r>
          <rPr>
            <sz val="10"/>
            <rFont val="Arial"/>
            <family val="2"/>
          </rPr>
          <t>Pedro:
Source: Alphabet 10-Q Q2 2025, Other income (expense) note</t>
        </r>
      </text>
    </comment>
    <comment ref="W20" authorId="0" shapeId="0" xr:uid="{00000000-0006-0000-0300-000023000000}">
      <text>
        <r>
          <rPr>
            <sz val="10"/>
            <rFont val="Arial"/>
            <family val="2"/>
          </rPr>
          <t>Pedro:
Source: Alphabet 10-Q Q3 2025, Other income (expense) note</t>
        </r>
      </text>
    </comment>
    <comment ref="Z20" authorId="0" shapeId="0" xr:uid="{00000000-0006-0000-0300-000026000000}">
      <text>
        <r>
          <rPr>
            <sz val="10"/>
            <rFont val="Arial"/>
            <family val="2"/>
          </rPr>
          <t>Pedro:
Source: Alphabet 10-Q Q1 2026, Other income (expense) note</t>
        </r>
      </text>
    </comment>
    <comment ref="F21" authorId="0" shapeId="0" xr:uid="{00000000-0006-0000-0300-000003000000}">
      <text>
        <r>
          <rPr>
            <sz val="10"/>
            <rFont val="Arial"/>
            <family val="2"/>
          </rPr>
          <t>Pedro:
Source: Alphabet 10-Q Q1 2022, Other income (expense) note</t>
        </r>
      </text>
    </comment>
    <comment ref="G21" authorId="0" shapeId="0" xr:uid="{00000000-0006-0000-0300-000006000000}">
      <text>
        <r>
          <rPr>
            <sz val="10"/>
            <rFont val="Arial"/>
            <family val="2"/>
          </rPr>
          <t>Pedro:
Source: Alphabet 10-Q Q2 2022, Other income (expense) note</t>
        </r>
      </text>
    </comment>
    <comment ref="H21" authorId="0" shapeId="0" xr:uid="{00000000-0006-0000-0300-000009000000}">
      <text>
        <r>
          <rPr>
            <sz val="10"/>
            <rFont val="Arial"/>
            <family val="2"/>
          </rPr>
          <t>Pedro:
Source: Alphabet 10-Q Q3 2022, Other income (expense) note</t>
        </r>
      </text>
    </comment>
    <comment ref="K21" authorId="0" shapeId="0" xr:uid="{00000000-0006-0000-0300-00000C000000}">
      <text>
        <r>
          <rPr>
            <sz val="10"/>
            <rFont val="Arial"/>
            <family val="2"/>
          </rPr>
          <t>Pedro:
Source: Alphabet 10-Q Q1 2023, Other income (expense) note</t>
        </r>
      </text>
    </comment>
    <comment ref="L21" authorId="0" shapeId="0" xr:uid="{00000000-0006-0000-0300-00000F000000}">
      <text>
        <r>
          <rPr>
            <sz val="10"/>
            <rFont val="Arial"/>
            <family val="2"/>
          </rPr>
          <t>Pedro:
Source: Alphabet 10-Q Q2 2023, Other income (expense) note</t>
        </r>
      </text>
    </comment>
    <comment ref="M21" authorId="0" shapeId="0" xr:uid="{00000000-0006-0000-0300-000012000000}">
      <text>
        <r>
          <rPr>
            <sz val="10"/>
            <rFont val="Arial"/>
            <family val="2"/>
          </rPr>
          <t>Pedro:
Source: Alphabet 10-Q Q3 2023, Other income (expense) note</t>
        </r>
      </text>
    </comment>
    <comment ref="P21" authorId="0" shapeId="0" xr:uid="{00000000-0006-0000-0300-000015000000}">
      <text>
        <r>
          <rPr>
            <sz val="10"/>
            <rFont val="Arial"/>
            <family val="2"/>
          </rPr>
          <t>Pedro:
Source: Alphabet 10-Q Q1 2024, Other income (expense) note</t>
        </r>
      </text>
    </comment>
    <comment ref="Q21" authorId="0" shapeId="0" xr:uid="{00000000-0006-0000-0300-000018000000}">
      <text>
        <r>
          <rPr>
            <sz val="10"/>
            <rFont val="Arial"/>
            <family val="2"/>
          </rPr>
          <t>Pedro:
Source: Alphabet 10-Q Q2 2024, Other income (expense) note</t>
        </r>
      </text>
    </comment>
    <comment ref="R21" authorId="0" shapeId="0" xr:uid="{00000000-0006-0000-0300-00001B000000}">
      <text>
        <r>
          <rPr>
            <sz val="10"/>
            <rFont val="Arial"/>
            <family val="2"/>
          </rPr>
          <t>Pedro:
Source: Alphabet 10-Q Q3 2024, Other income (expense) note</t>
        </r>
      </text>
    </comment>
    <comment ref="U21" authorId="0" shapeId="0" xr:uid="{00000000-0006-0000-0300-00001E000000}">
      <text>
        <r>
          <rPr>
            <sz val="10"/>
            <rFont val="Arial"/>
            <family val="2"/>
          </rPr>
          <t>Pedro:
Source: Alphabet 10-Q Q1 2025, Other income (expense) note</t>
        </r>
      </text>
    </comment>
    <comment ref="V21" authorId="0" shapeId="0" xr:uid="{00000000-0006-0000-0300-000021000000}">
      <text>
        <r>
          <rPr>
            <sz val="10"/>
            <rFont val="Arial"/>
            <family val="2"/>
          </rPr>
          <t>Pedro:
Source: Alphabet 10-Q Q2 2025, Other income (expense) note</t>
        </r>
      </text>
    </comment>
    <comment ref="W21" authorId="0" shapeId="0" xr:uid="{00000000-0006-0000-0300-000024000000}">
      <text>
        <r>
          <rPr>
            <sz val="10"/>
            <rFont val="Arial"/>
            <family val="2"/>
          </rPr>
          <t>Pedro:
Source: Alphabet 10-Q Q3 2025, Other income (expense) note</t>
        </r>
      </text>
    </comment>
    <comment ref="Z21" authorId="0" shapeId="0" xr:uid="{00000000-0006-0000-0300-000027000000}">
      <text>
        <r>
          <rPr>
            <sz val="10"/>
            <rFont val="Arial"/>
            <family val="2"/>
          </rPr>
          <t>Pedro:
Source: Alphabet 10-Q Q1 2026, Other income (expense) note</t>
        </r>
      </text>
    </comment>
    <comment ref="F22" authorId="0" shapeId="0" xr:uid="{00000000-0006-0000-0300-000004000000}">
      <text>
        <r>
          <rPr>
            <sz val="10"/>
            <rFont val="Arial"/>
            <family val="2"/>
          </rPr>
          <t>Pedro:
Source: Alphabet 10-Q Q1 2022, Other income (expense) note</t>
        </r>
      </text>
    </comment>
    <comment ref="G22" authorId="0" shapeId="0" xr:uid="{00000000-0006-0000-0300-000007000000}">
      <text>
        <r>
          <rPr>
            <sz val="10"/>
            <rFont val="Arial"/>
            <family val="2"/>
          </rPr>
          <t>Pedro:
Source: Alphabet 10-Q Q2 2022, Other income (expense) note</t>
        </r>
      </text>
    </comment>
    <comment ref="H22" authorId="0" shapeId="0" xr:uid="{00000000-0006-0000-0300-00000A000000}">
      <text>
        <r>
          <rPr>
            <sz val="10"/>
            <rFont val="Arial"/>
            <family val="2"/>
          </rPr>
          <t>Pedro:
Source: Alphabet 10-Q Q3 2022, Other income (expense) note</t>
        </r>
      </text>
    </comment>
    <comment ref="K22" authorId="0" shapeId="0" xr:uid="{00000000-0006-0000-0300-00000D000000}">
      <text>
        <r>
          <rPr>
            <sz val="10"/>
            <rFont val="Arial"/>
            <family val="2"/>
          </rPr>
          <t>Pedro:
Source: Alphabet 10-Q Q1 2023, Other income (expense) note</t>
        </r>
      </text>
    </comment>
    <comment ref="L22" authorId="0" shapeId="0" xr:uid="{00000000-0006-0000-0300-000010000000}">
      <text>
        <r>
          <rPr>
            <sz val="10"/>
            <rFont val="Arial"/>
            <family val="2"/>
          </rPr>
          <t>Pedro:
Source: Alphabet 10-Q Q2 2023, Other income (expense) note</t>
        </r>
      </text>
    </comment>
    <comment ref="M22" authorId="0" shapeId="0" xr:uid="{00000000-0006-0000-0300-000013000000}">
      <text>
        <r>
          <rPr>
            <sz val="10"/>
            <rFont val="Arial"/>
            <family val="2"/>
          </rPr>
          <t>Pedro:
Source: Alphabet 10-Q Q3 2023, Other income (expense) note</t>
        </r>
      </text>
    </comment>
    <comment ref="P22" authorId="0" shapeId="0" xr:uid="{00000000-0006-0000-0300-000016000000}">
      <text>
        <r>
          <rPr>
            <sz val="10"/>
            <rFont val="Arial"/>
            <family val="2"/>
          </rPr>
          <t>Pedro:
Source: Alphabet 10-Q Q1 2024, Other income (expense) note</t>
        </r>
      </text>
    </comment>
    <comment ref="Q22" authorId="0" shapeId="0" xr:uid="{00000000-0006-0000-0300-000019000000}">
      <text>
        <r>
          <rPr>
            <sz val="10"/>
            <rFont val="Arial"/>
            <family val="2"/>
          </rPr>
          <t>Pedro:
Source: Alphabet 10-Q Q2 2024, Other income (expense) note</t>
        </r>
      </text>
    </comment>
    <comment ref="R22" authorId="0" shapeId="0" xr:uid="{00000000-0006-0000-0300-00001C000000}">
      <text>
        <r>
          <rPr>
            <sz val="10"/>
            <rFont val="Arial"/>
            <family val="2"/>
          </rPr>
          <t>Pedro:
Source: Alphabet 10-Q Q3 2024, Other income (expense) note</t>
        </r>
      </text>
    </comment>
    <comment ref="U22" authorId="0" shapeId="0" xr:uid="{00000000-0006-0000-0300-00001F000000}">
      <text>
        <r>
          <rPr>
            <sz val="10"/>
            <rFont val="Arial"/>
            <family val="2"/>
          </rPr>
          <t>Pedro:
Source: Alphabet 10-Q Q1 2025, Other income (expense) note</t>
        </r>
      </text>
    </comment>
    <comment ref="V22" authorId="0" shapeId="0" xr:uid="{00000000-0006-0000-0300-000022000000}">
      <text>
        <r>
          <rPr>
            <sz val="10"/>
            <rFont val="Arial"/>
            <family val="2"/>
          </rPr>
          <t>Pedro:
Source: Alphabet 10-Q Q2 2025, Other income (expense) note</t>
        </r>
      </text>
    </comment>
    <comment ref="W22" authorId="0" shapeId="0" xr:uid="{00000000-0006-0000-0300-000025000000}">
      <text>
        <r>
          <rPr>
            <sz val="10"/>
            <rFont val="Arial"/>
            <family val="2"/>
          </rPr>
          <t>Pedro:
Source: Alphabet 10-Q Q3 2025, Other income (expense) note</t>
        </r>
      </text>
    </comment>
    <comment ref="Z22" authorId="0" shapeId="0" xr:uid="{00000000-0006-0000-0300-000028000000}">
      <text>
        <r>
          <rPr>
            <sz val="10"/>
            <rFont val="Arial"/>
            <family val="2"/>
          </rPr>
          <t>Pedro:
Source: Alphabet 10-Q Q1 2026, Other income (expense) note</t>
        </r>
      </text>
    </comment>
    <comment ref="AA22" authorId="1" shapeId="0" xr:uid="{B39C12DF-E4BE-4FFD-A40D-0CA39D26F704}">
      <text>
        <t>[Threaded comment]
Your version of Excel allows you to read this threaded comment; however, any edits to it will get removed if the file is opened in a newer version of Excel. Learn more: https://go.microsoft.com/fwlink/?linkid=870924
Comment:
    Aqui ele fez mediana de trimestres</t>
      </text>
    </comment>
    <comment ref="AB22" authorId="2" shapeId="0" xr:uid="{C60454EF-FC89-4B55-8D5E-D0D6003EBA68}">
      <text>
        <t>[Threaded comment]
Your version of Excel allows you to read this threaded comment; however, any edits to it will get removed if the file is opened in a newer version of Excel. Learn more: https://go.microsoft.com/fwlink/?linkid=870924
Comment:
    Aqui ele fez mediana de ANOS (não entendi pq)</t>
      </text>
    </comment>
    <comment ref="AE22" authorId="0" shapeId="0" xr:uid="{00000000-0006-0000-0300-000029000000}">
      <text>
        <r>
          <rPr>
            <sz val="10"/>
            <rFont val="Arial"/>
            <family val="2"/>
          </rPr>
          <t xml:space="preserve">Pedro Procopio:
Projetado constantemente como a mediana dos valores anteriores
</t>
        </r>
      </text>
    </comment>
    <comment ref="B23" authorId="0" shapeId="0" xr:uid="{00000000-0006-0000-0300-000001000000}">
      <text>
        <r>
          <rPr>
            <sz val="10"/>
            <rFont val="Arial"/>
            <family val="2"/>
          </rPr>
          <t xml:space="preserve">Pedro:Muito grande, pois tem leva em conta investimentos em ações, gera mt receita
</t>
        </r>
      </text>
    </comment>
    <comment ref="AA23" authorId="3" shapeId="0" xr:uid="{E811BCC0-E3D7-4407-89CF-F0993CB89814}">
      <text>
        <t>[Threaded comment]
Your version of Excel allows you to read this threaded comment; however, any edits to it will get removed if the file is opened in a newer version of Excel. Learn more: https://go.microsoft.com/fwlink/?linkid=870924
Comment:
    Nessa linha ele copiou as fórmulas da linha de cima, tendi nada tmb.</t>
      </text>
    </comment>
    <comment ref="AE23" authorId="0" shapeId="0" xr:uid="{D23ABA1F-2184-4E0C-ABD4-0A18D9869E14}">
      <text>
        <r>
          <rPr>
            <sz val="10"/>
            <rFont val="Arial"/>
            <family val="2"/>
          </rPr>
          <t xml:space="preserve">Pedro Procopio:
Projetado constantemente como a mediana dos valores anteriores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6" authorId="0" shapeId="0" xr:uid="{00000000-0006-0000-0D00-000001000000}">
      <text>
        <r>
          <rPr>
            <sz val="10"/>
            <rFont val="Arial"/>
            <family val="2"/>
          </rPr>
          <t>Daniel Campanholi:
Mesma coisa de EV/Revenue!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V7" authorId="0" shapeId="0" xr:uid="{00000000-0006-0000-0700-000001000000}">
      <text>
        <r>
          <rPr>
            <sz val="10"/>
            <rFont val="Arial"/>
            <family val="2"/>
          </rPr>
          <t xml:space="preserve">Pedro:
Ta errado precisaria normalizar e etc pelos 35k de nn recorrente(ações waymo) nn caixa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Gabriel De Lima Porto</author>
  </authors>
  <commentList>
    <comment ref="R2" authorId="0" shapeId="0" xr:uid="{B1430DE4-F280-458B-9CCB-F566060DAD92}">
      <text>
        <r>
          <rPr>
            <sz val="11"/>
            <color theme="1"/>
            <rFont val="Aptos"/>
            <family val="2"/>
            <charset val="1"/>
          </rPr>
          <t xml:space="preserve"> Como estou usando Excel online essa função não esta disponível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tc={9CB4F33C-B5B7-419A-8F92-E2E7B072AA2A}</author>
  </authors>
  <commentList>
    <comment ref="Z13" authorId="0" shapeId="0" xr:uid="{9CB4F33C-B5B7-419A-8F92-E2E7B072AA2A}">
      <text>
        <t>[Threaded comment]
Your version of Excel allows you to read this threaded comment; however, any edits to it will get removed if the file is opened in a newer version of Excel. Learn more: https://go.microsoft.com/fwlink/?linkid=870924
Comment:
    Aqui aparentemente a projeção divulgada pela própria empresa é de 180Mn, então tem q estimar pra dar próximo disso.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Q24" authorId="0" shapeId="0" xr:uid="{00000000-0006-0000-0F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Projeção do Market US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<sst xmlns="http://schemas.openxmlformats.org/spreadsheetml/2006/main" count="943" uniqueCount="423">
  <si>
    <t>Scenario</t>
  </si>
  <si>
    <t xml:space="preserve">Pelo Baixo impacto geral "Other Bets" e "Hedging" foram deixados para serem alterados no caso especificos, deixando valores justos baseados no passado nos calculos </t>
  </si>
  <si>
    <t>Search Growth (%)</t>
  </si>
  <si>
    <t>g</t>
  </si>
  <si>
    <t>fonte</t>
  </si>
  <si>
    <t>k/pp</t>
  </si>
  <si>
    <t>λ(alavancagem</t>
  </si>
  <si>
    <t>2Q26e</t>
  </si>
  <si>
    <t>3Q26e</t>
  </si>
  <si>
    <t>4Q26e</t>
  </si>
  <si>
    <t>Search</t>
  </si>
  <si>
    <t>Bull</t>
  </si>
  <si>
    <t>YouTube</t>
  </si>
  <si>
    <t>Bear</t>
  </si>
  <si>
    <t>Subs</t>
  </si>
  <si>
    <t>Base</t>
  </si>
  <si>
    <t>Cloud</t>
  </si>
  <si>
    <t>instensidade</t>
  </si>
  <si>
    <t>Network</t>
  </si>
  <si>
    <t>Running</t>
  </si>
  <si>
    <t>ServMg</t>
  </si>
  <si>
    <t>CloudMg</t>
  </si>
  <si>
    <t>Youtube Ads Growth (%)</t>
  </si>
  <si>
    <t>Cálculo do k (base histórica)</t>
  </si>
  <si>
    <t>Google Subscription Growth (%)</t>
  </si>
  <si>
    <t>Driver</t>
  </si>
  <si>
    <t>1Q23</t>
  </si>
  <si>
    <t>2Q23</t>
  </si>
  <si>
    <t>3Q23</t>
  </si>
  <si>
    <t>4Q23</t>
  </si>
  <si>
    <t>1Q24</t>
  </si>
  <si>
    <t>2Q24</t>
  </si>
  <si>
    <t>3Q24</t>
  </si>
  <si>
    <t>4Q24</t>
  </si>
  <si>
    <t>1Q25</t>
  </si>
  <si>
    <t>2Q25</t>
  </si>
  <si>
    <t>3Q25</t>
  </si>
  <si>
    <t>4Q25</t>
  </si>
  <si>
    <t>1Q26</t>
  </si>
  <si>
    <t>μ (13t)</t>
  </si>
  <si>
    <t>σ (8t)</t>
  </si>
  <si>
    <t>k = σ/μ</t>
  </si>
  <si>
    <t>Subscriptions</t>
  </si>
  <si>
    <t>Margem Services</t>
  </si>
  <si>
    <t>Margem Cloud</t>
  </si>
  <si>
    <t>Google Cloud Growth (%)</t>
  </si>
  <si>
    <t>Google Cloud Margin (%)</t>
  </si>
  <si>
    <t>Google Services Margin (%)</t>
  </si>
  <si>
    <t>CapEx Revenue (%)</t>
  </si>
  <si>
    <t>Google Network (%)</t>
  </si>
  <si>
    <t>Hardcode</t>
  </si>
  <si>
    <t>Formula</t>
  </si>
  <si>
    <t>Assumption</t>
  </si>
  <si>
    <t>Income Statement (Mn USD)</t>
  </si>
  <si>
    <t>1Q22</t>
  </si>
  <si>
    <t>2Q22</t>
  </si>
  <si>
    <t>3Q22</t>
  </si>
  <si>
    <t>4Q22</t>
  </si>
  <si>
    <t>2Q26</t>
  </si>
  <si>
    <t>3Q26</t>
  </si>
  <si>
    <t>4Q26</t>
  </si>
  <si>
    <t>Revenues</t>
  </si>
  <si>
    <t>y/y(%)</t>
  </si>
  <si>
    <t>(-)Cost of revenues</t>
  </si>
  <si>
    <t>Gross Profit</t>
  </si>
  <si>
    <t>(-)SG&amp;A</t>
  </si>
  <si>
    <t>Research and development</t>
  </si>
  <si>
    <t>Sales and marketing</t>
  </si>
  <si>
    <t>General and administrative</t>
  </si>
  <si>
    <t>EBIT</t>
  </si>
  <si>
    <t>(+/-)Financial Result</t>
  </si>
  <si>
    <t>(-) Interest Expense</t>
  </si>
  <si>
    <t>(+) Interest Income</t>
  </si>
  <si>
    <t>(+/-)  Currency Exchange</t>
  </si>
  <si>
    <t>(+/-) Others</t>
  </si>
  <si>
    <t>EBT</t>
  </si>
  <si>
    <t>Taxes</t>
  </si>
  <si>
    <t>Effective Tax Rate</t>
  </si>
  <si>
    <t>Net Income</t>
  </si>
  <si>
    <t>Net Margin(%)</t>
  </si>
  <si>
    <t>Payout</t>
  </si>
  <si>
    <t>Retained Profits</t>
  </si>
  <si>
    <t>Dividens</t>
  </si>
  <si>
    <t>As % of Payout</t>
  </si>
  <si>
    <t>Repurchase of Stock</t>
  </si>
  <si>
    <t>EBITDA</t>
  </si>
  <si>
    <t>EBITDA Margin</t>
  </si>
  <si>
    <t>Balance Sheet (Mn USD)</t>
  </si>
  <si>
    <t>Assets</t>
  </si>
  <si>
    <t>Current Assets</t>
  </si>
  <si>
    <t>Cash and cash equivalents</t>
  </si>
  <si>
    <t>Accounts receivable</t>
  </si>
  <si>
    <t>Other current assets</t>
  </si>
  <si>
    <t>Non Current Assets</t>
  </si>
  <si>
    <t>Investiments</t>
  </si>
  <si>
    <t>PP&amp;E</t>
  </si>
  <si>
    <t>Lease</t>
  </si>
  <si>
    <t xml:space="preserve">Goodwill </t>
  </si>
  <si>
    <t>Others Non Current Assets</t>
  </si>
  <si>
    <t>Liabilities</t>
  </si>
  <si>
    <t>Current Liabilities</t>
  </si>
  <si>
    <t xml:space="preserve">Accounts Payable </t>
  </si>
  <si>
    <t xml:space="preserve">Salary </t>
  </si>
  <si>
    <t xml:space="preserve">Accrued Revenue Share </t>
  </si>
  <si>
    <t>Other Current Liabilities</t>
  </si>
  <si>
    <t>Non Current Liabilities</t>
  </si>
  <si>
    <t xml:space="preserve">Long term Debt </t>
  </si>
  <si>
    <t xml:space="preserve">Lease </t>
  </si>
  <si>
    <t>Other Non Current Liabilities</t>
  </si>
  <si>
    <t>Equity</t>
  </si>
  <si>
    <t xml:space="preserve">Share Capital </t>
  </si>
  <si>
    <t>Income Reserves</t>
  </si>
  <si>
    <t>SBC</t>
  </si>
  <si>
    <t>Liabilities+Equity</t>
  </si>
  <si>
    <t>OWC</t>
  </si>
  <si>
    <t>Δ OWC</t>
  </si>
  <si>
    <t>Revenue</t>
  </si>
  <si>
    <t>COGS</t>
  </si>
  <si>
    <t>SG&amp;A</t>
  </si>
  <si>
    <t>Days</t>
  </si>
  <si>
    <t>Accounts Receivible</t>
  </si>
  <si>
    <t>Days Of Revenue</t>
  </si>
  <si>
    <t>Others Assets</t>
  </si>
  <si>
    <t>Salary</t>
  </si>
  <si>
    <t>Days Of SG&amp;A</t>
  </si>
  <si>
    <t>Accrued Revunue Shares</t>
  </si>
  <si>
    <t>Days Of COGS</t>
  </si>
  <si>
    <t>Accounts Payable</t>
  </si>
  <si>
    <t>Others</t>
  </si>
  <si>
    <t>COMPARABLE COMPANY ANALYSIS</t>
  </si>
  <si>
    <t>Tabela Auxiliar</t>
  </si>
  <si>
    <t>Trading Multiples</t>
  </si>
  <si>
    <t>P/E</t>
  </si>
  <si>
    <t>EV/SALES</t>
  </si>
  <si>
    <t>EV/EBITDA</t>
  </si>
  <si>
    <t>Company</t>
  </si>
  <si>
    <t>FY26</t>
  </si>
  <si>
    <t>FY27</t>
  </si>
  <si>
    <t>FY28</t>
  </si>
  <si>
    <t>Meta Platforms</t>
  </si>
  <si>
    <t>Amazon.com</t>
  </si>
  <si>
    <t>Snap</t>
  </si>
  <si>
    <t>Netflix</t>
  </si>
  <si>
    <t>eBay</t>
  </si>
  <si>
    <t>Microsoft</t>
  </si>
  <si>
    <t>Apple</t>
  </si>
  <si>
    <t>TRADING MULTIPLES STATISTICS</t>
  </si>
  <si>
    <t>Minimum</t>
  </si>
  <si>
    <t>Implied Share Price</t>
  </si>
  <si>
    <t>Valuation</t>
  </si>
  <si>
    <t>Metric</t>
  </si>
  <si>
    <t>Share Price</t>
  </si>
  <si>
    <t>25th percentile</t>
  </si>
  <si>
    <t>25th Percentile</t>
  </si>
  <si>
    <t>Median</t>
  </si>
  <si>
    <t>Average</t>
  </si>
  <si>
    <t>75th Percentile</t>
  </si>
  <si>
    <t>Maximum</t>
  </si>
  <si>
    <t>Valuation Range</t>
  </si>
  <si>
    <t>Low</t>
  </si>
  <si>
    <t>Mid</t>
  </si>
  <si>
    <t>High</t>
  </si>
  <si>
    <t>75th percentile</t>
  </si>
  <si>
    <t>GOOGL Denominators</t>
  </si>
  <si>
    <t>EV/Sales</t>
  </si>
  <si>
    <t>Denominator</t>
  </si>
  <si>
    <t>Shares Outstanding</t>
  </si>
  <si>
    <t>Net Debt</t>
  </si>
  <si>
    <t>Cash Flow Statement (Mn USD)</t>
  </si>
  <si>
    <t>Operating Activities</t>
  </si>
  <si>
    <t>Adjustments:</t>
  </si>
  <si>
    <t>Depreciation &amp; Amortization</t>
  </si>
  <si>
    <t>Stock-based compensation</t>
  </si>
  <si>
    <t>Defered income taxes</t>
  </si>
  <si>
    <t>Loss (gain) on debt and equity securities</t>
  </si>
  <si>
    <t>Other</t>
  </si>
  <si>
    <t>Changes in assets and liabilities, net of effects of acquisitions:</t>
  </si>
  <si>
    <t>Accounts receivable, net</t>
  </si>
  <si>
    <t>Income taxes, net</t>
  </si>
  <si>
    <t>Other assets</t>
  </si>
  <si>
    <t>Accounts payable</t>
  </si>
  <si>
    <t>Accrued expenses and other liabilities</t>
  </si>
  <si>
    <t>Accrued revenue share</t>
  </si>
  <si>
    <t>Deferred revenue</t>
  </si>
  <si>
    <t>Net cash from operating activities</t>
  </si>
  <si>
    <t>Investing activities</t>
  </si>
  <si>
    <t>Purchases of property and equipment</t>
  </si>
  <si>
    <t>Purchases of marketable securities</t>
  </si>
  <si>
    <t>Maturities and sales of marketable securities</t>
  </si>
  <si>
    <t>Purchases of non-marketable securities</t>
  </si>
  <si>
    <t>Maturities and sales of non-marketable securities</t>
  </si>
  <si>
    <t>Acquisitions, net of cash acquired, and purchases of intangible assets</t>
  </si>
  <si>
    <t>Other investing activities</t>
  </si>
  <si>
    <t>Net cash from investing activities</t>
  </si>
  <si>
    <t>Financing activities</t>
  </si>
  <si>
    <t>Net payments related to stock-based award activities</t>
  </si>
  <si>
    <t>Repurchases of stock</t>
  </si>
  <si>
    <t>Dividend payments</t>
  </si>
  <si>
    <t>Proceeds from issuance of debt, net of costs</t>
  </si>
  <si>
    <t>Repayments of debt</t>
  </si>
  <si>
    <t>Proceeds from sale of interest in consolidated entities, net</t>
  </si>
  <si>
    <t>Net cash used in financing activities</t>
  </si>
  <si>
    <t>Effect of exchange rate changes on cash and cash equivalents</t>
  </si>
  <si>
    <t>Cash and Cash Equivalents</t>
  </si>
  <si>
    <t>Changes in Cash</t>
  </si>
  <si>
    <t>Cash BoP</t>
  </si>
  <si>
    <t>Cash EoP</t>
  </si>
  <si>
    <t>CFO</t>
  </si>
  <si>
    <t>(+) D&amp;A</t>
  </si>
  <si>
    <t>(+/-) OWC</t>
  </si>
  <si>
    <t>(+) Stock Based Compensation</t>
  </si>
  <si>
    <t>As % of Revenue</t>
  </si>
  <si>
    <t>CFI</t>
  </si>
  <si>
    <t>(-) Investments</t>
  </si>
  <si>
    <t>(-) CapEx</t>
  </si>
  <si>
    <t>CFF</t>
  </si>
  <si>
    <t>(+) Capital Increase</t>
  </si>
  <si>
    <t>(+) Loans &amp; Bonds</t>
  </si>
  <si>
    <t>(-) Dividends</t>
  </si>
  <si>
    <t>(-) Repurchases of stock</t>
  </si>
  <si>
    <t xml:space="preserve">(-)  Stock-based award </t>
  </si>
  <si>
    <t>(+/-) Effect of Exchange Rate</t>
  </si>
  <si>
    <t>Build Up</t>
  </si>
  <si>
    <t>Google Search</t>
  </si>
  <si>
    <t>y/y (%)</t>
  </si>
  <si>
    <t>Youtube ads</t>
  </si>
  <si>
    <t>Google Network</t>
  </si>
  <si>
    <t>Google Subscriptions</t>
  </si>
  <si>
    <t>Google Services</t>
  </si>
  <si>
    <t xml:space="preserve">Google Cloud </t>
  </si>
  <si>
    <t>Other Bets</t>
  </si>
  <si>
    <t xml:space="preserve">Hedging </t>
  </si>
  <si>
    <t>Operating Income</t>
  </si>
  <si>
    <t>Margin (%)</t>
  </si>
  <si>
    <t>Google Cloud</t>
  </si>
  <si>
    <t>Expenses</t>
  </si>
  <si>
    <t>Alphabet Level</t>
  </si>
  <si>
    <t xml:space="preserve">As % Revenue </t>
  </si>
  <si>
    <t>Total Expenses</t>
  </si>
  <si>
    <t>Cost of Revenue</t>
  </si>
  <si>
    <t>As % of Total Expenses</t>
  </si>
  <si>
    <t>Closing Date</t>
  </si>
  <si>
    <t>DCF Valuation</t>
  </si>
  <si>
    <t>2026</t>
  </si>
  <si>
    <t>2027</t>
  </si>
  <si>
    <t>2028</t>
  </si>
  <si>
    <t>2029</t>
  </si>
  <si>
    <t>2030</t>
  </si>
  <si>
    <t>2031</t>
  </si>
  <si>
    <t>Current Share Price</t>
  </si>
  <si>
    <t>Net Revenue</t>
  </si>
  <si>
    <t>Shares Outstanidng (Mn)</t>
  </si>
  <si>
    <t>% (y/y)</t>
  </si>
  <si>
    <t>(-) Net Debt (2026e)</t>
  </si>
  <si>
    <t>FCFF Target Price</t>
  </si>
  <si>
    <t>(%) Tax</t>
  </si>
  <si>
    <t>Target Price</t>
  </si>
  <si>
    <t>NOPAT</t>
  </si>
  <si>
    <t>Upside (%)</t>
  </si>
  <si>
    <t>Referenciar o build up no crescimento da Cloude</t>
  </si>
  <si>
    <t>(+/-) ΔOWC</t>
  </si>
  <si>
    <t>TV - PGM</t>
  </si>
  <si>
    <t>Total Enterprise Value</t>
  </si>
  <si>
    <t>Free Cash Flow to Firm</t>
  </si>
  <si>
    <t>Total Equity Value</t>
  </si>
  <si>
    <t>Date</t>
  </si>
  <si>
    <t>Discount Year (FCFF)</t>
  </si>
  <si>
    <t>FCFE Target Price</t>
  </si>
  <si>
    <t>Discount Factor (FCFF)</t>
  </si>
  <si>
    <t>Discount Year (FCFE)</t>
  </si>
  <si>
    <t>Discount Factor (FCFE)</t>
  </si>
  <si>
    <t>DCF (FCFF)</t>
  </si>
  <si>
    <t>(+/-) Net Borrowings</t>
  </si>
  <si>
    <t>(-) Financial Expenses</t>
  </si>
  <si>
    <t>Free Cash Flow to Equity</t>
  </si>
  <si>
    <t>Terminal Value FCFF</t>
  </si>
  <si>
    <t>DCF (FCFE)</t>
  </si>
  <si>
    <t>Perpetuity Growth Model</t>
  </si>
  <si>
    <t>FCFF (2031e)</t>
  </si>
  <si>
    <t>WACC Calculation</t>
  </si>
  <si>
    <t>WACC</t>
  </si>
  <si>
    <t>Capital Structure</t>
  </si>
  <si>
    <t>Market Capitalization (mn)</t>
  </si>
  <si>
    <t>(usando WACC de 2031)</t>
  </si>
  <si>
    <t>Debt (mn)</t>
  </si>
  <si>
    <t>E/D+E</t>
  </si>
  <si>
    <t>Terminal Value FCFE</t>
  </si>
  <si>
    <t>D/D+E</t>
  </si>
  <si>
    <t>Cost of Equity (Ke')</t>
  </si>
  <si>
    <t>FCFE (2031e)</t>
  </si>
  <si>
    <t>Cost of Debt (Kd')</t>
  </si>
  <si>
    <t>Ke</t>
  </si>
  <si>
    <t>TV FCFF Contribution</t>
  </si>
  <si>
    <t>TV FCFE Contribution</t>
  </si>
  <si>
    <t>Cost of Equity (Ke)</t>
  </si>
  <si>
    <t>Cost of Debt (Kd)</t>
  </si>
  <si>
    <t>Risk Free Rate (US 10Y)</t>
  </si>
  <si>
    <t>Avg Debt Cost (2026e)</t>
  </si>
  <si>
    <t>β</t>
  </si>
  <si>
    <t>Effective Tax Rate (%)</t>
  </si>
  <si>
    <t>Equity Risk Premium (Damodaran)</t>
  </si>
  <si>
    <t>Kd (post-tax)</t>
  </si>
  <si>
    <t>CRP (Damodaran)</t>
  </si>
  <si>
    <t>Risk Free Rate</t>
  </si>
  <si>
    <t>https://finance.yahoo.com/quote/%5ETNX/</t>
  </si>
  <si>
    <t>Equity Risk Premium</t>
  </si>
  <si>
    <t>https://www.statista.com/statistics/664840/average-market-risk-premium-usa/</t>
  </si>
  <si>
    <t>Country Risk Premium</t>
  </si>
  <si>
    <t>https://pages.stern.nyu.edu/~adamodar/New_Home_Page/datafile/ctryprem.html</t>
  </si>
  <si>
    <t>Debt Schedule (Mn USD)</t>
  </si>
  <si>
    <t>T - 10y</t>
  </si>
  <si>
    <t>Average Debt Cost</t>
  </si>
  <si>
    <t>Total Debt</t>
  </si>
  <si>
    <t>Long Term Debt</t>
  </si>
  <si>
    <t>Debt Expenses</t>
  </si>
  <si>
    <t>Interest Debt</t>
  </si>
  <si>
    <t>Financial Income</t>
  </si>
  <si>
    <t>Interest on Cash</t>
  </si>
  <si>
    <t>Lease Cost</t>
  </si>
  <si>
    <t>Debt</t>
  </si>
  <si>
    <t xml:space="preserve">Effective Interest Rate </t>
  </si>
  <si>
    <t xml:space="preserve">Value </t>
  </si>
  <si>
    <t>2016 U.S. Dollar Notes</t>
  </si>
  <si>
    <t>2020 U.S. Dollar Notes</t>
  </si>
  <si>
    <t>2025 U.S. Dollar Notes</t>
  </si>
  <si>
    <t>2025 Euro Notes</t>
  </si>
  <si>
    <t>2026 U.S. Dollar Notes</t>
  </si>
  <si>
    <t>2026 Sterling Notes</t>
  </si>
  <si>
    <t>2026 Swiss Franc Notes</t>
  </si>
  <si>
    <t>Weighted-averege</t>
  </si>
  <si>
    <t>CapEx &amp; D&amp;A (Mn USD)</t>
  </si>
  <si>
    <t>D&amp;A</t>
  </si>
  <si>
    <t>D&amp;A as (%) of Revenue</t>
  </si>
  <si>
    <t>CapEx</t>
  </si>
  <si>
    <t>CapEx as (%) of Revenue</t>
  </si>
  <si>
    <t>YoY</t>
  </si>
  <si>
    <t>(-)Expenses</t>
  </si>
  <si>
    <t>Ebit</t>
  </si>
  <si>
    <t>(-)Taxes</t>
  </si>
  <si>
    <t xml:space="preserve">Sector Growth </t>
  </si>
  <si>
    <t>Market Share</t>
  </si>
  <si>
    <t>Income Statement — Quarterly (Mn USD)</t>
  </si>
  <si>
    <t>2022</t>
  </si>
  <si>
    <t>2023</t>
  </si>
  <si>
    <t>2024</t>
  </si>
  <si>
    <t>2025</t>
  </si>
  <si>
    <t>Q1</t>
  </si>
  <si>
    <t>Q2</t>
  </si>
  <si>
    <t>Q3</t>
  </si>
  <si>
    <t>Q4</t>
  </si>
  <si>
    <t>FY</t>
  </si>
  <si>
    <t>(-) Cost of revenues</t>
  </si>
  <si>
    <t>(-) SG&amp;A</t>
  </si>
  <si>
    <t xml:space="preserve">   Research &amp; development</t>
  </si>
  <si>
    <t xml:space="preserve">   Sales &amp; marketing</t>
  </si>
  <si>
    <t xml:space="preserve">   General &amp; administrative</t>
  </si>
  <si>
    <t>(+/-) Financial Result</t>
  </si>
  <si>
    <t>Net Margin (%)</t>
  </si>
  <si>
    <t>Build Up — Quarterly (Mn USD)</t>
  </si>
  <si>
    <t>Google Search &amp; other</t>
  </si>
  <si>
    <t>YouTube ads</t>
  </si>
  <si>
    <t>Google subscriptions, platforms &amp; devices</t>
  </si>
  <si>
    <t>Hedging gains (losses)</t>
  </si>
  <si>
    <t>Total Revenues</t>
  </si>
  <si>
    <t>Operating Income (loss)</t>
  </si>
  <si>
    <t xml:space="preserve">   Google Services</t>
  </si>
  <si>
    <t xml:space="preserve">      Margin (%)</t>
  </si>
  <si>
    <t xml:space="preserve">   Google Cloud</t>
  </si>
  <si>
    <t xml:space="preserve">   Other Bets</t>
  </si>
  <si>
    <t xml:space="preserve">   Corporate costs / Alphabet-level</t>
  </si>
  <si>
    <t>Total Operating Income</t>
  </si>
  <si>
    <t xml:space="preserve">   Margin (%)</t>
  </si>
  <si>
    <t xml:space="preserve">   Cost of Revenue</t>
  </si>
  <si>
    <t xml:space="preserve">   SG&amp;A</t>
  </si>
  <si>
    <t>Balance Sheet — Quarterly (Mn USD)</t>
  </si>
  <si>
    <t>Check (A − L&amp;E)</t>
  </si>
  <si>
    <t>Cash &amp; equivalents</t>
  </si>
  <si>
    <t>Goodwill</t>
  </si>
  <si>
    <t>Accrued Revenue Share</t>
  </si>
  <si>
    <t>Long term Debt</t>
  </si>
  <si>
    <t>Share Capital</t>
  </si>
  <si>
    <t>Liabilities + Equity</t>
  </si>
  <si>
    <t>Cash Flow Statement (Historical / Reported) — Quarterly (Mn USD)</t>
  </si>
  <si>
    <t xml:space="preserve">   Depreciation &amp; Amortization</t>
  </si>
  <si>
    <t xml:space="preserve">   Stock-based compensation</t>
  </si>
  <si>
    <t xml:space="preserve">   Deferred income taxes</t>
  </si>
  <si>
    <t xml:space="preserve">   Loss (gain) on securities</t>
  </si>
  <si>
    <t xml:space="preserve">   Other</t>
  </si>
  <si>
    <t>Changes in working capital:</t>
  </si>
  <si>
    <t xml:space="preserve">   Accounts receivable, net</t>
  </si>
  <si>
    <t xml:space="preserve">   Income taxes, net</t>
  </si>
  <si>
    <t xml:space="preserve">   Other assets</t>
  </si>
  <si>
    <t xml:space="preserve">   Accounts payable</t>
  </si>
  <si>
    <t xml:space="preserve">   Accrued expenses &amp; other liab.</t>
  </si>
  <si>
    <t xml:space="preserve">   Accrued revenue share</t>
  </si>
  <si>
    <t xml:space="preserve">   Deferred revenue</t>
  </si>
  <si>
    <t xml:space="preserve">   Purchases of P&amp;E</t>
  </si>
  <si>
    <t xml:space="preserve">   Purchases of marketable sec.</t>
  </si>
  <si>
    <t xml:space="preserve">   Maturities/sales of marketable</t>
  </si>
  <si>
    <t xml:space="preserve">   Purchases of non-marketable</t>
  </si>
  <si>
    <t xml:space="preserve">   Maturities/sales of non-mkt</t>
  </si>
  <si>
    <t xml:space="preserve">   Acquisitions, net</t>
  </si>
  <si>
    <t xml:space="preserve">   Other investing</t>
  </si>
  <si>
    <t xml:space="preserve">   Net SB-award activities</t>
  </si>
  <si>
    <t xml:space="preserve">   Repurchases of stock</t>
  </si>
  <si>
    <t xml:space="preserve">   Dividend payments</t>
  </si>
  <si>
    <t xml:space="preserve">   Issuance of debt, net</t>
  </si>
  <si>
    <t xml:space="preserve">   Repayments of debt</t>
  </si>
  <si>
    <t xml:space="preserve">   Sale of interest in subs.</t>
  </si>
  <si>
    <t>Net cash from financing activities</t>
  </si>
  <si>
    <t>Effect of FX on cash</t>
  </si>
  <si>
    <t>Cash Flow Statement (Indirect / from BS &amp; IS) — Quarterly (Mn USD)</t>
  </si>
  <si>
    <t>(+/-) Loans &amp; Bonds</t>
  </si>
  <si>
    <t>(-) Stock-based award</t>
  </si>
  <si>
    <t>Tie-out: Cash EoP vs BS Cash</t>
  </si>
  <si>
    <t>2026e</t>
  </si>
  <si>
    <t>2027e</t>
  </si>
  <si>
    <t>2028e</t>
  </si>
  <si>
    <t>2029e</t>
  </si>
  <si>
    <t>2030e</t>
  </si>
  <si>
    <t xml:space="preserve"> Interest Rates and Currencies</t>
  </si>
  <si>
    <t xml:space="preserve"> Fed funds - %</t>
  </si>
  <si>
    <t xml:space="preserve"> 10-Year Treasury (US) - %, end of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</si>
</sst>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 #,##0.00_);_(* \(#,##0.00\);_(* \-??_);_(@_)"/>
    <numFmt numFmtId="165" formatCode="_(\$* #,##0.00_);_(\$* \(#,##0.00\);_(\$* \-??_);_(@_)"/>
    <numFmt numFmtId="166" formatCode="m/d/yyyy"/>
    <numFmt numFmtId="167" formatCode="_(* #,##0_);_(* \(#,##0\);_(* \-?_);_(@_)"/>
    <numFmt numFmtId="168" formatCode="0.0"/>
    <numFmt numFmtId="169" formatCode="0.0%"/>
    <numFmt numFmtId="170" formatCode="#,##0;\(#,##0\);\-"/>
    <numFmt numFmtId="171" formatCode="0.000%"/>
    <numFmt numFmtId="172" formatCode="#,##0;\(#,##0\)"/>
    <numFmt numFmtId="173" formatCode="@\e"/>
    <numFmt numFmtId="174" formatCode="[$$-409]#,##0.00"/>
    <numFmt numFmtId="175" formatCode="_-[$R$-416]\ * #,##0.00_-;\-[$R$-416]\ * #,##0.00_-;_-[$R$-416]\ * \-??_-;_-@_-"/>
    <numFmt numFmtId="176" formatCode="0%;\(0%\);\-"/>
    <numFmt numFmtId="177" formatCode="_-&quot;$ &quot;* #,##0_-;&quot;-R$ &quot;* #,##0_-;_-&quot;R$ &quot;* \-??_-;_-@_-"/>
    <numFmt numFmtId="178" formatCode="0.00\x"/>
    <numFmt numFmtId="179" formatCode="#,##0.00;\(#,##0.00\);\-"/>
    <numFmt numFmtId="180" formatCode="0.0\x"/>
    <numFmt numFmtId="181" formatCode="&quot;R$ &quot;#,##0.00"/>
    <numFmt numFmtId="182" formatCode="&quot;$ &quot;0.00"/>
    <numFmt numFmtId="183" formatCode="_-&quot;R$ &quot;* #,##0.00_-;&quot;-R$ &quot;* #,##0.00_-;_-&quot;R$ &quot;* \-??_-;_-@_-"/>
    <numFmt numFmtId="184" formatCode="#,##0.000"/>
    <numFmt numFmtId="185" formatCode="0.000"/>
    <numFmt numFmtId="186" formatCode="_-* #,##0_-;\-* #,##0_-;_-* &quot;-&quot;??_-;_-@_-"/>
  </numFmts>
  <fonts count="144">
    <font>
      <sz val="11"/>
      <color theme="1"/>
      <name val="Aptos"/>
      <family val="2"/>
      <charset val="1"/>
    </font>
    <font>
      <sz val="10"/>
      <name val="Arial"/>
    </font>
    <font>
      <sz val="10"/>
      <name val="Arial"/>
      <family val="2"/>
      <charset val="1"/>
    </font>
    <font>
      <sz val="10"/>
      <name val="Calibri"/>
      <family val="2"/>
      <charset val="1"/>
    </font>
    <font>
      <i/>
      <sz val="10"/>
      <name val="Calibri"/>
      <family val="2"/>
      <charset val="1"/>
    </font>
    <font>
      <b/>
      <i/>
      <sz val="10"/>
      <name val="Calibri"/>
      <family val="2"/>
      <charset val="1"/>
    </font>
    <font>
      <sz val="8"/>
      <name val="Verdana"/>
      <family val="2"/>
      <charset val="1"/>
    </font>
    <font>
      <b/>
      <sz val="20"/>
      <color theme="1"/>
      <name val="Arial"/>
      <family val="2"/>
      <charset val="1"/>
    </font>
    <font>
      <sz val="9"/>
      <color theme="0" tint="-0.249977111117893"/>
      <name val="Arial"/>
      <family val="2"/>
      <charset val="1"/>
    </font>
    <font>
      <b/>
      <sz val="10"/>
      <name val="Arial"/>
      <family val="2"/>
      <charset val="1"/>
    </font>
    <font>
      <b/>
      <sz val="12"/>
      <name val="Arial"/>
      <family val="2"/>
      <charset val="1"/>
    </font>
    <font>
      <b/>
      <i/>
      <sz val="12"/>
      <name val="Arial"/>
      <family val="2"/>
      <charset val="1"/>
    </font>
    <font>
      <b/>
      <i/>
      <sz val="12"/>
      <color theme="0"/>
      <name val="Arial"/>
      <family val="2"/>
      <charset val="1"/>
    </font>
    <font>
      <sz val="8"/>
      <color theme="2" tint="-9.9978637043366805E-2"/>
      <name val="Verdana"/>
      <family val="2"/>
      <charset val="1"/>
    </font>
    <font>
      <b/>
      <sz val="12"/>
      <color theme="1"/>
      <name val="Avenir Next LT Pro"/>
      <family val="2"/>
      <charset val="1"/>
    </font>
    <font>
      <b/>
      <sz val="10"/>
      <color rgb="FF333399"/>
      <name val="Arial"/>
      <family val="2"/>
      <charset val="1"/>
    </font>
    <font>
      <b/>
      <sz val="10"/>
      <color rgb="FFFF0000"/>
      <name val="Arial"/>
      <family val="2"/>
      <charset val="1"/>
    </font>
    <font>
      <b/>
      <sz val="10"/>
      <color theme="2" tint="-9.9978637043366805E-2"/>
      <name val="Arial"/>
      <family val="2"/>
      <charset val="1"/>
    </font>
    <font>
      <sz val="12"/>
      <name val="Avenir Next LT Pro"/>
      <family val="2"/>
      <charset val="1"/>
    </font>
    <font>
      <sz val="12"/>
      <color theme="1"/>
      <name val="Avenir Next LT Pro"/>
      <family val="2"/>
      <charset val="1"/>
    </font>
    <font>
      <b/>
      <sz val="12"/>
      <name val="Avenir Next LT Pro"/>
      <family val="2"/>
      <charset val="1"/>
    </font>
    <font>
      <b/>
      <sz val="12"/>
      <name val="Avenir Next LT Pro"/>
      <charset val="1"/>
    </font>
    <font>
      <b/>
      <sz val="10"/>
      <color theme="1"/>
      <name val="Arial"/>
      <family val="2"/>
      <charset val="1"/>
    </font>
    <font>
      <b/>
      <sz val="9"/>
      <color rgb="FF333399"/>
      <name val="Arial"/>
      <family val="2"/>
      <charset val="1"/>
    </font>
    <font>
      <sz val="9"/>
      <name val="Arial"/>
      <family val="2"/>
      <charset val="1"/>
    </font>
    <font>
      <b/>
      <sz val="9"/>
      <name val="Arial"/>
      <family val="2"/>
      <charset val="1"/>
    </font>
    <font>
      <b/>
      <sz val="9"/>
      <color rgb="FFFF0000"/>
      <name val="Arial"/>
      <family val="2"/>
      <charset val="1"/>
    </font>
    <font>
      <sz val="7"/>
      <name val="Arial"/>
      <family val="2"/>
      <charset val="1"/>
    </font>
    <font>
      <sz val="8"/>
      <name val="Arial"/>
      <family val="2"/>
      <charset val="1"/>
    </font>
    <font>
      <sz val="11"/>
      <color rgb="FF000000"/>
      <name val="Avenir Next LT Pro"/>
      <family val="2"/>
      <charset val="1"/>
    </font>
    <font>
      <sz val="11"/>
      <color theme="1"/>
      <name val="Avenir Next LT Pro"/>
      <family val="2"/>
      <charset val="1"/>
    </font>
    <font>
      <b/>
      <sz val="11"/>
      <color theme="1"/>
      <name val="Avenir Next LT Pro"/>
      <family val="2"/>
      <charset val="1"/>
    </font>
    <font>
      <b/>
      <sz val="12"/>
      <color rgb="FFFFFFFF"/>
      <name val="Avenir Next LT Pro"/>
      <family val="2"/>
      <charset val="1"/>
    </font>
    <font>
      <b/>
      <sz val="11"/>
      <color theme="0"/>
      <name val="Avenir Next LT Pro"/>
      <family val="2"/>
      <charset val="1"/>
    </font>
    <font>
      <sz val="11"/>
      <color rgb="FF000000"/>
      <name val="Aptos Display"/>
      <family val="2"/>
      <charset val="1"/>
    </font>
    <font>
      <b/>
      <sz val="11"/>
      <color rgb="FFFFFFFF"/>
      <name val="Avenir Next LT Pro"/>
      <family val="2"/>
      <charset val="1"/>
    </font>
    <font>
      <sz val="11"/>
      <color rgb="FF9C0006"/>
      <name val="Avenir Next LT Pro"/>
      <family val="2"/>
      <charset val="1"/>
    </font>
    <font>
      <sz val="11"/>
      <color theme="1"/>
      <name val="Aptos Narrow"/>
      <family val="2"/>
      <charset val="1"/>
    </font>
    <font>
      <sz val="11"/>
      <color rgb="FF9C5700"/>
      <name val="Avenir Next LT Pro"/>
      <family val="2"/>
      <charset val="1"/>
    </font>
    <font>
      <sz val="11"/>
      <color rgb="FF006100"/>
      <name val="Avenir Next LT Pro"/>
      <family val="2"/>
      <charset val="1"/>
    </font>
    <font>
      <b/>
      <i/>
      <sz val="11"/>
      <color rgb="FFFFFFFF"/>
      <name val="Avenir Next LT Pro"/>
      <family val="2"/>
      <charset val="1"/>
    </font>
    <font>
      <i/>
      <sz val="11"/>
      <color rgb="FF000000"/>
      <name val="Avenir Next LT Pro"/>
      <family val="2"/>
      <charset val="1"/>
    </font>
    <font>
      <b/>
      <sz val="12"/>
      <color theme="0"/>
      <name val="Avenir Next LT Pro"/>
      <family val="2"/>
      <charset val="1"/>
    </font>
    <font>
      <i/>
      <sz val="12"/>
      <color theme="1"/>
      <name val="Avenir Next LT Pro"/>
      <family val="2"/>
      <charset val="1"/>
    </font>
    <font>
      <sz val="12"/>
      <color rgb="FF0070C0"/>
      <name val="Avenir Next LT Pro"/>
      <charset val="1"/>
    </font>
    <font>
      <sz val="12"/>
      <color theme="1"/>
      <name val="Avenir Next LT Pro"/>
      <charset val="1"/>
    </font>
    <font>
      <i/>
      <sz val="12"/>
      <color rgb="FFFF3F3F"/>
      <name val="Avenir Next LT Pro"/>
      <charset val="1"/>
    </font>
    <font>
      <b/>
      <sz val="11"/>
      <color theme="0"/>
      <name val="Avenir Next LT Pro"/>
      <charset val="1"/>
    </font>
    <font>
      <b/>
      <sz val="10"/>
      <color rgb="FF000000"/>
      <name val="Avenir Next LT Pro"/>
      <family val="2"/>
      <charset val="1"/>
    </font>
    <font>
      <sz val="10"/>
      <color rgb="FF000000"/>
      <name val="Avenir Next LT Pro"/>
      <family val="2"/>
      <charset val="1"/>
    </font>
    <font>
      <sz val="10"/>
      <color rgb="FF000000"/>
      <name val="Arial"/>
      <family val="2"/>
      <charset val="1"/>
    </font>
    <font>
      <i/>
      <sz val="12"/>
      <color theme="2" tint="-0.499984740745262"/>
      <name val="Avenir Next LT Pro"/>
      <family val="2"/>
      <charset val="1"/>
    </font>
    <font>
      <sz val="14"/>
      <color rgb="FF000000"/>
      <name val="Times New Roman"/>
      <family val="1"/>
      <charset val="1"/>
    </font>
    <font>
      <sz val="12"/>
      <color rgb="FF0070C0"/>
      <name val="Avenir Next LT Pro"/>
      <family val="2"/>
      <charset val="1"/>
    </font>
    <font>
      <i/>
      <sz val="11"/>
      <color rgb="FFFF3F3F"/>
      <name val="Avenir Next LT Pro"/>
      <family val="2"/>
      <charset val="1"/>
    </font>
    <font>
      <i/>
      <sz val="11"/>
      <color rgb="FFFF3F3F"/>
      <name val="Avenir Next LT Pro"/>
      <charset val="1"/>
    </font>
    <font>
      <sz val="12"/>
      <name val="Avenir Next LT Pro"/>
      <charset val="1"/>
    </font>
    <font>
      <sz val="11"/>
      <color theme="2" tint="-0.499984740745262"/>
      <name val="Avenir Next LT Pro"/>
      <family val="2"/>
      <charset val="1"/>
    </font>
    <font>
      <i/>
      <sz val="12"/>
      <color theme="2" tint="-0.499984740745262"/>
      <name val="Avenir Next LT Pro"/>
      <charset val="1"/>
    </font>
    <font>
      <i/>
      <sz val="10"/>
      <color rgb="FF000000"/>
      <name val="Avenir Next LT Pro"/>
      <family val="2"/>
      <charset val="1"/>
    </font>
    <font>
      <b/>
      <sz val="12"/>
      <color theme="1"/>
      <name val="Avenir Next LT Pro"/>
      <charset val="1"/>
    </font>
    <font>
      <sz val="8"/>
      <color rgb="FF000000"/>
      <name val="Arial"/>
      <family val="2"/>
      <charset val="1"/>
    </font>
    <font>
      <sz val="10"/>
      <color theme="1"/>
      <name val="Avenir Next LT Pro"/>
      <family val="2"/>
      <charset val="1"/>
    </font>
    <font>
      <b/>
      <sz val="11"/>
      <color theme="1"/>
      <name val="Aptos"/>
      <family val="2"/>
      <charset val="1"/>
    </font>
    <font>
      <i/>
      <sz val="11"/>
      <color theme="2" tint="-0.499984740745262"/>
      <name val="Avenir Next LT Pro"/>
      <family val="2"/>
      <charset val="1"/>
    </font>
    <font>
      <b/>
      <sz val="10"/>
      <color rgb="FF000000"/>
      <name val="Avenir Next LT Pro"/>
      <charset val="1"/>
    </font>
    <font>
      <b/>
      <sz val="8"/>
      <color rgb="FF000000"/>
      <name val="Arial"/>
      <family val="2"/>
      <charset val="1"/>
    </font>
    <font>
      <b/>
      <sz val="10"/>
      <color rgb="FF000000"/>
      <name val="Arial"/>
      <family val="2"/>
      <charset val="1"/>
    </font>
    <font>
      <b/>
      <sz val="14"/>
      <color rgb="FF000000"/>
      <name val="Times New Roman"/>
      <family val="1"/>
      <charset val="1"/>
    </font>
    <font>
      <sz val="10"/>
      <name val="Arial"/>
      <family val="2"/>
    </font>
    <font>
      <sz val="11"/>
      <color theme="1" tint="0.49967955565050204"/>
      <name val="Avenir Next LT Pro"/>
      <family val="2"/>
      <charset val="1"/>
    </font>
    <font>
      <b/>
      <sz val="12"/>
      <color rgb="FF000000"/>
      <name val="Avenir Next LT Pro"/>
      <family val="2"/>
      <charset val="1"/>
    </font>
    <font>
      <b/>
      <sz val="11"/>
      <color theme="0"/>
      <name val="Aptos"/>
      <family val="2"/>
      <charset val="1"/>
    </font>
    <font>
      <i/>
      <sz val="12"/>
      <color rgb="FFFF3F3F"/>
      <name val="Avenir Next LT Pro"/>
      <family val="2"/>
      <charset val="1"/>
    </font>
    <font>
      <b/>
      <sz val="11"/>
      <color rgb="FF000000"/>
      <name val="Avenir Next LT Pro"/>
      <family val="2"/>
      <charset val="1"/>
    </font>
    <font>
      <b/>
      <sz val="10"/>
      <color theme="1"/>
      <name val="Avenir Next LT Pro"/>
      <family val="2"/>
      <charset val="1"/>
    </font>
    <font>
      <sz val="12"/>
      <color rgb="FF008000"/>
      <name val="Avenir Next LT Pro"/>
      <family val="2"/>
      <charset val="1"/>
    </font>
    <font>
      <u/>
      <sz val="12"/>
      <color rgb="FF008000"/>
      <name val="Avenir Next LT Pro"/>
      <family val="2"/>
      <charset val="1"/>
    </font>
    <font>
      <u/>
      <sz val="11"/>
      <color theme="10"/>
      <name val="Aptos"/>
      <family val="2"/>
      <charset val="1"/>
    </font>
    <font>
      <b/>
      <u/>
      <sz val="11"/>
      <color rgb="FF000000"/>
      <name val="Avenir Next LT Pro"/>
      <family val="2"/>
      <charset val="1"/>
    </font>
    <font>
      <b/>
      <sz val="12"/>
      <color rgb="FF008000"/>
      <name val="Avenir Next LT Pro"/>
      <family val="2"/>
      <charset val="1"/>
    </font>
    <font>
      <sz val="12"/>
      <color rgb="FF000000"/>
      <name val="Avenir Next LT Pro"/>
      <family val="2"/>
      <charset val="1"/>
    </font>
    <font>
      <i/>
      <sz val="11"/>
      <color theme="1"/>
      <name val="Avenir Next LT Pro"/>
      <family val="2"/>
      <charset val="1"/>
    </font>
    <font>
      <b/>
      <sz val="10"/>
      <color rgb="FFFFFFFF"/>
      <name val="Avenir Next LT Pro"/>
      <family val="2"/>
      <charset val="1"/>
    </font>
    <font>
      <sz val="14"/>
      <color rgb="FF000000"/>
      <name val="Avenir Next LT Pro"/>
      <family val="2"/>
      <charset val="1"/>
    </font>
    <font>
      <b/>
      <sz val="14"/>
      <color rgb="FFFFFFFF"/>
      <name val="Avenir Next LT Pro"/>
      <family val="2"/>
      <charset val="1"/>
    </font>
    <font>
      <i/>
      <sz val="10"/>
      <color rgb="FF808080"/>
      <name val="Avenir Next LT Pro"/>
      <family val="2"/>
      <charset val="1"/>
    </font>
    <font>
      <sz val="12"/>
      <color rgb="FF000000"/>
      <name val="Avenir Next LT Pro"/>
      <charset val="1"/>
    </font>
    <font>
      <u/>
      <sz val="11"/>
      <color theme="10"/>
      <name val="Aptos Narrow"/>
      <family val="2"/>
      <charset val="1"/>
    </font>
    <font>
      <i/>
      <sz val="10"/>
      <color theme="1"/>
      <name val="Avenir Next LT Pro"/>
      <family val="2"/>
      <charset val="1"/>
    </font>
    <font>
      <i/>
      <sz val="10"/>
      <color rgb="FFFF0000"/>
      <name val="Avenir Next LT Pro"/>
      <family val="2"/>
      <charset val="1"/>
    </font>
    <font>
      <sz val="9"/>
      <color rgb="FF000000"/>
      <name val="Times New Roman"/>
      <family val="1"/>
      <charset val="1"/>
    </font>
    <font>
      <sz val="11"/>
      <name val="Avenir Next LT Pro"/>
      <family val="2"/>
      <charset val="1"/>
    </font>
    <font>
      <i/>
      <sz val="11"/>
      <name val="Avenir Next LT Pro"/>
      <family val="2"/>
      <charset val="1"/>
    </font>
    <font>
      <sz val="11"/>
      <color theme="1"/>
      <name val="Arial"/>
      <family val="2"/>
      <charset val="1"/>
    </font>
    <font>
      <sz val="12"/>
      <color rgb="FFFF0000"/>
      <name val="Avenir Next LT Pro"/>
      <family val="2"/>
      <charset val="1"/>
    </font>
    <font>
      <b/>
      <i/>
      <sz val="12"/>
      <color theme="1"/>
      <name val="Avenir Next LT Pro"/>
      <family val="2"/>
      <charset val="1"/>
    </font>
    <font>
      <u/>
      <sz val="11"/>
      <color theme="10"/>
      <name val="Avenir Next LT Pro"/>
      <family val="2"/>
      <charset val="1"/>
    </font>
    <font>
      <sz val="11"/>
      <color theme="0"/>
      <name val="Avenir Next LT Pro"/>
      <family val="2"/>
      <charset val="1"/>
    </font>
    <font>
      <sz val="12"/>
      <color rgb="FFFFFFFF"/>
      <name val="Avenir Next LT Pro"/>
      <family val="2"/>
      <charset val="1"/>
    </font>
    <font>
      <sz val="11"/>
      <color theme="3" tint="0.49989318521683401"/>
      <name val="Avenir Next LT Pro"/>
      <family val="2"/>
      <charset val="1"/>
    </font>
    <font>
      <b/>
      <sz val="10"/>
      <color rgb="FF008000"/>
      <name val="Avenir Next LT Pro"/>
      <family val="2"/>
      <charset val="1"/>
    </font>
    <font>
      <sz val="11"/>
      <color rgb="FF0070C0"/>
      <name val="Avenir Next LT Pro"/>
      <family val="2"/>
      <charset val="1"/>
    </font>
    <font>
      <sz val="11"/>
      <color rgb="FF008000"/>
      <name val="Avenir Next LT Pro"/>
      <family val="2"/>
      <charset val="1"/>
    </font>
    <font>
      <b/>
      <sz val="11"/>
      <color rgb="FF0070C0"/>
      <name val="Avenir Next LT Pro"/>
      <family val="2"/>
      <charset val="1"/>
    </font>
    <font>
      <sz val="11"/>
      <color rgb="FF808080"/>
      <name val="Avenir Next LT Pro"/>
      <family val="2"/>
      <charset val="1"/>
    </font>
    <font>
      <sz val="11"/>
      <color theme="1"/>
      <name val="Aptos"/>
      <family val="2"/>
      <charset val="1"/>
    </font>
    <font>
      <b/>
      <sz val="12"/>
      <name val="Avenir Next LT Pro"/>
      <family val="2"/>
      <scheme val="major"/>
    </font>
    <font>
      <sz val="11"/>
      <color rgb="FF242424"/>
      <name val="Aptos Narrow"/>
      <charset val="1"/>
    </font>
    <font>
      <i/>
      <sz val="11"/>
      <color theme="1"/>
      <name val="Avenir Next LT Pro"/>
      <charset val="1"/>
    </font>
    <font>
      <i/>
      <sz val="11"/>
      <color rgb="FFFF3F3F"/>
      <name val="Avenir Next LT Pro"/>
    </font>
    <font>
      <i/>
      <sz val="12"/>
      <color theme="2" tint="-0.499984740745262"/>
      <name val="Avenir Next LT Pro"/>
    </font>
    <font>
      <sz val="11"/>
      <color theme="1"/>
      <name val="Avenir Next LT Pro"/>
    </font>
    <font>
      <sz val="12"/>
      <color rgb="FF0070C0"/>
      <name val="Avenir Next LT Pro"/>
    </font>
    <font>
      <sz val="12"/>
      <color theme="1"/>
      <name val="Avenir Next LT Pro"/>
    </font>
    <font>
      <i/>
      <sz val="12"/>
      <color rgb="FFFF3F3F"/>
      <name val="Avenir Next LT Pro"/>
    </font>
    <font>
      <b/>
      <sz val="11"/>
      <color theme="1"/>
      <name val="Avenir Next LT Pro"/>
    </font>
    <font>
      <b/>
      <sz val="11"/>
      <color theme="0"/>
      <name val="Avenir Next LT Pro"/>
    </font>
    <font>
      <sz val="10"/>
      <color rgb="FF000000"/>
      <name val="Avenir Next LT Pro"/>
    </font>
    <font>
      <b/>
      <sz val="12"/>
      <color theme="1"/>
      <name val="Avenir Next LT Pro"/>
    </font>
    <font>
      <sz val="11"/>
      <color theme="1" tint="0.49967955565050204"/>
      <name val="Avenir Next LT Pro"/>
    </font>
    <font>
      <sz val="10"/>
      <color rgb="FF000000"/>
      <name val="Arial"/>
    </font>
    <font>
      <b/>
      <sz val="10"/>
      <color rgb="FF000000"/>
      <name val="Arial"/>
    </font>
    <font>
      <b/>
      <sz val="14"/>
      <color rgb="FF000000"/>
      <name val="Times New Roman"/>
      <family val="1"/>
    </font>
    <font>
      <b/>
      <sz val="12"/>
      <color rgb="FF000000"/>
      <name val="Avenir Next LT Pro"/>
    </font>
    <font>
      <b/>
      <sz val="8"/>
      <color rgb="FF000000"/>
      <name val="Arial"/>
    </font>
    <font>
      <i/>
      <sz val="11"/>
      <color theme="2" tint="-0.499984740745262"/>
      <name val="Avenir Next LT Pro"/>
    </font>
    <font>
      <sz val="10"/>
      <color theme="1"/>
      <name val="Avenir Next LT Pro"/>
    </font>
    <font>
      <b/>
      <sz val="11"/>
      <color rgb="FF000000"/>
      <name val="Avenir Next LT Pro"/>
    </font>
    <font>
      <sz val="12"/>
      <name val="Avenir Next LT Pro"/>
    </font>
    <font>
      <i/>
      <sz val="11"/>
      <color rgb="FF000000"/>
      <name val="Avenir Next LT Pro"/>
      <charset val="1"/>
    </font>
    <font>
      <sz val="11"/>
      <color theme="1"/>
      <name val="Avenir Next LT Pro"/>
      <scheme val="major"/>
    </font>
    <font>
      <sz val="12"/>
      <color rgb="FF000000"/>
      <name val="Avenir Next LT Pro"/>
    </font>
    <font>
      <sz val="10"/>
      <color rgb="FF000000"/>
      <name val="Avenir Next LT Pro"/>
      <scheme val="major"/>
    </font>
    <font>
      <b/>
      <sz val="12"/>
      <color theme="1"/>
      <name val="Avenir Next LT Pro"/>
      <scheme val="major"/>
    </font>
    <font>
      <i/>
      <sz val="10"/>
      <color theme="1"/>
      <name val="Avenir Next LT Pro"/>
      <scheme val="major"/>
    </font>
    <font>
      <sz val="11"/>
      <color theme="0"/>
      <name val="Aptos Narrow"/>
      <family val="2"/>
      <charset val="1"/>
    </font>
    <font>
      <sz val="11"/>
      <color theme="0"/>
      <name val="Aptos"/>
      <family val="2"/>
      <charset val="1"/>
    </font>
    <font>
      <sz val="11"/>
      <color rgb="FF000000"/>
      <name val="Aptos"/>
      <charset val="1"/>
    </font>
    <font>
      <sz val="11"/>
      <color rgb="FFFFFFFF"/>
      <name val="Aptos"/>
      <charset val="1"/>
    </font>
    <font>
      <b/>
      <sz val="12"/>
      <color rgb="FFFFFFFF"/>
      <name val="Avenir Next LT Pro"/>
      <charset val="1"/>
    </font>
    <font>
      <b/>
      <sz val="11"/>
      <color rgb="FF000000"/>
      <name val="Avenir Next LT Pro"/>
      <charset val="1"/>
    </font>
    <font>
      <sz val="11"/>
      <color rgb="FF000000"/>
      <name val="Avenir Next LT Pro"/>
      <charset val="1"/>
    </font>
    <font>
      <sz val="11"/>
      <color theme="1"/>
      <name val="Avenir Next LT Pro"/>
      <charset val="1"/>
    </font>
  </fonts>
  <fills count="25">
    <fill>
      <patternFill patternType="none"/>
    </fill>
    <fill>
      <patternFill patternType="gray125"/>
    </fill>
    <fill>
      <patternFill patternType="solid">
        <fgColor theme="1"/>
        <bgColor rgb="FF141133"/>
      </patternFill>
    </fill>
    <fill>
      <patternFill patternType="solid">
        <fgColor rgb="FF141133"/>
        <bgColor rgb="FF000000"/>
      </patternFill>
    </fill>
    <fill>
      <patternFill patternType="solid">
        <fgColor rgb="FF30287A"/>
        <bgColor rgb="FF333399"/>
      </patternFill>
    </fill>
    <fill>
      <patternFill patternType="solid">
        <fgColor rgb="FFFFFFFF"/>
        <bgColor rgb="FFF2F2F2"/>
      </patternFill>
    </fill>
    <fill>
      <patternFill patternType="solid">
        <fgColor rgb="FFC0C0C0"/>
        <bgColor rgb="FFBFBFBF"/>
      </patternFill>
    </fill>
    <fill>
      <patternFill patternType="solid">
        <fgColor rgb="FFCB1720"/>
        <bgColor rgb="FFB1141A"/>
      </patternFill>
    </fill>
    <fill>
      <patternFill patternType="solid">
        <fgColor rgb="FFB1141A"/>
        <bgColor rgb="FFCB1720"/>
      </patternFill>
    </fill>
    <fill>
      <patternFill patternType="solid">
        <fgColor rgb="FFFFC7CE"/>
        <bgColor rgb="FFD9D9D9"/>
      </patternFill>
    </fill>
    <fill>
      <patternFill patternType="solid">
        <fgColor rgb="FFFFEB9C"/>
        <bgColor rgb="FFFFFA93"/>
      </patternFill>
    </fill>
    <fill>
      <patternFill patternType="solid">
        <fgColor rgb="FFC6EFCE"/>
        <bgColor rgb="FFD9D9D9"/>
      </patternFill>
    </fill>
    <fill>
      <patternFill patternType="solid">
        <fgColor rgb="FFFFFA93"/>
        <bgColor rgb="FFFFFF99"/>
      </patternFill>
    </fill>
    <fill>
      <patternFill patternType="solid">
        <fgColor rgb="FFEC1B23"/>
        <bgColor rgb="FFF7080B"/>
      </patternFill>
    </fill>
    <fill>
      <patternFill patternType="solid">
        <fgColor rgb="FFF2F2F2"/>
        <bgColor rgb="FFFFFFFF"/>
      </patternFill>
    </fill>
    <fill>
      <patternFill patternType="solid">
        <fgColor theme="2" tint="-9.9978637043366805E-2"/>
        <bgColor rgb="FFD9D9D9"/>
      </patternFill>
    </fill>
    <fill>
      <patternFill patternType="solid">
        <fgColor rgb="FFFFFF99"/>
        <bgColor rgb="FFFFFA93"/>
      </patternFill>
    </fill>
    <fill>
      <patternFill patternType="solid">
        <fgColor theme="0" tint="-0.249977111117893"/>
        <bgColor rgb="FFC0C0C0"/>
      </patternFill>
    </fill>
    <fill>
      <patternFill patternType="solid">
        <fgColor rgb="FFFFFF00"/>
        <bgColor rgb="FFFFCC00"/>
      </patternFill>
    </fill>
    <fill>
      <patternFill patternType="solid">
        <fgColor rgb="FFFF3F3F"/>
        <bgColor rgb="FFEC1B23"/>
      </patternFill>
    </fill>
    <fill>
      <patternFill patternType="solid">
        <fgColor rgb="FFFF7C80"/>
        <bgColor rgb="FFFF99CC"/>
      </patternFill>
    </fill>
    <fill>
      <patternFill patternType="solid">
        <fgColor rgb="FF404040"/>
        <bgColor rgb="FF333300"/>
      </patternFill>
    </fill>
    <fill>
      <patternFill patternType="solid">
        <fgColor theme="0"/>
        <bgColor indexed="64"/>
      </patternFill>
    </fill>
    <fill>
      <patternFill patternType="solid">
        <fgColor rgb="FFD0D0D0"/>
        <bgColor indexed="64"/>
      </patternFill>
    </fill>
    <fill>
      <patternFill patternType="solid">
        <fgColor rgb="FF00B0F0"/>
        <bgColor indexed="64"/>
      </patternFill>
    </fill>
  </fills>
  <borders count="72">
    <border>
      <left/>
      <right/>
      <top/>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bottom style="thin">
        <color auto="1"/>
      </bottom>
      <diagonal/>
    </border>
    <border>
      <left/>
      <right/>
      <top style="thin">
        <color auto="1"/>
      </top>
      <bottom style="double">
        <color auto="1"/>
      </bottom>
      <diagonal/>
    </border>
    <border>
      <left/>
      <right/>
      <top/>
      <bottom style="medium">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right/>
      <top/>
      <bottom style="dashed">
        <color auto="1"/>
      </bottom>
      <diagonal/>
    </border>
    <border>
      <left/>
      <right style="dashed">
        <color auto="1"/>
      </right>
      <top/>
      <bottom style="dashed">
        <color auto="1"/>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right/>
      <top style="medium">
        <color auto="1"/>
      </top>
      <bottom style="thin">
        <color auto="1"/>
      </bottom>
      <diagonal/>
    </border>
    <border>
      <left/>
      <right/>
      <top style="thin">
        <color auto="1"/>
      </top>
      <bottom/>
      <diagonal/>
    </border>
    <border>
      <left style="dashed">
        <color auto="1"/>
      </left>
      <right style="dashed">
        <color auto="1"/>
      </right>
      <top style="dashed">
        <color auto="1"/>
      </top>
      <bottom style="dashed">
        <color auto="1"/>
      </bottom>
      <diagonal/>
    </border>
    <border>
      <left style="dashed">
        <color auto="1"/>
      </left>
      <right/>
      <top style="dotted">
        <color auto="1"/>
      </top>
      <bottom style="thin">
        <color auto="1"/>
      </bottom>
      <diagonal/>
    </border>
    <border>
      <left/>
      <right/>
      <top style="dotted">
        <color auto="1"/>
      </top>
      <bottom style="thin">
        <color auto="1"/>
      </bottom>
      <diagonal/>
    </border>
    <border>
      <left/>
      <right style="dashed">
        <color auto="1"/>
      </right>
      <top style="dotted">
        <color auto="1"/>
      </top>
      <bottom style="thin">
        <color auto="1"/>
      </bottom>
      <diagonal/>
    </border>
    <border>
      <left style="dashed">
        <color auto="1"/>
      </left>
      <right/>
      <top/>
      <bottom style="dashed">
        <color auto="1"/>
      </bottom>
      <diagonal/>
    </border>
    <border>
      <left style="dashed">
        <color auto="1"/>
      </left>
      <right/>
      <top/>
      <bottom style="thin">
        <color auto="1"/>
      </bottom>
      <diagonal/>
    </border>
    <border>
      <left/>
      <right style="dashed">
        <color auto="1"/>
      </right>
      <top/>
      <bottom style="thin">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diagonal/>
    </border>
    <border>
      <left style="thin">
        <color auto="1"/>
      </left>
      <right style="thin">
        <color auto="1"/>
      </right>
      <top style="thin">
        <color auto="1"/>
      </top>
      <bottom style="thin">
        <color auto="1"/>
      </bottom>
      <diagonal/>
    </border>
    <border>
      <left/>
      <right style="thick">
        <color auto="1"/>
      </right>
      <top style="thick">
        <color auto="1"/>
      </top>
      <bottom style="thin">
        <color auto="1"/>
      </bottom>
      <diagonal/>
    </border>
    <border>
      <left/>
      <right style="thick">
        <color auto="1"/>
      </right>
      <top/>
      <bottom/>
      <diagonal/>
    </border>
    <border>
      <left/>
      <right/>
      <top style="medium">
        <color auto="1"/>
      </top>
      <bottom style="double">
        <color auto="1"/>
      </bottom>
      <diagonal/>
    </border>
    <border>
      <left/>
      <right style="thick">
        <color auto="1"/>
      </right>
      <top/>
      <bottom style="thick">
        <color auto="1"/>
      </bottom>
      <diagonal/>
    </border>
    <border>
      <left/>
      <right style="thick">
        <color auto="1"/>
      </right>
      <top style="thin">
        <color auto="1"/>
      </top>
      <bottom style="medium">
        <color auto="1"/>
      </bottom>
      <diagonal/>
    </border>
    <border>
      <left style="dashed">
        <color auto="1"/>
      </left>
      <right/>
      <top style="slantDashDot">
        <color auto="1"/>
      </top>
      <bottom style="dashed">
        <color auto="1"/>
      </bottom>
      <diagonal/>
    </border>
    <border>
      <left/>
      <right/>
      <top style="slantDashDot">
        <color auto="1"/>
      </top>
      <bottom style="dashed">
        <color auto="1"/>
      </bottom>
      <diagonal/>
    </border>
    <border>
      <left/>
      <right style="dashed">
        <color auto="1"/>
      </right>
      <top style="slantDashDot">
        <color auto="1"/>
      </top>
      <bottom style="dashed">
        <color auto="1"/>
      </bottom>
      <diagonal/>
    </border>
    <border>
      <left/>
      <right/>
      <top/>
      <bottom style="thin">
        <color theme="0"/>
      </bottom>
      <diagonal/>
    </border>
    <border>
      <left/>
      <right/>
      <top/>
      <bottom style="double">
        <color auto="1"/>
      </bottom>
      <diagonal/>
    </border>
    <border>
      <left style="thin">
        <color theme="0" tint="-0.14999847407452621"/>
      </left>
      <right/>
      <top style="double">
        <color auto="1"/>
      </top>
      <bottom style="thin">
        <color theme="0" tint="-0.14999847407452621"/>
      </bottom>
      <diagonal/>
    </border>
    <border>
      <left/>
      <right/>
      <top style="double">
        <color auto="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auto="1"/>
      </left>
      <right/>
      <top style="thin">
        <color auto="1"/>
      </top>
      <bottom style="thin">
        <color theme="0"/>
      </bottom>
      <diagonal/>
    </border>
    <border>
      <left/>
      <right/>
      <top style="thin">
        <color auto="1"/>
      </top>
      <bottom style="thin">
        <color theme="0"/>
      </bottom>
      <diagonal/>
    </border>
    <border>
      <left style="thin">
        <color auto="1"/>
      </left>
      <right/>
      <top/>
      <bottom/>
      <diagonal/>
    </border>
    <border>
      <left/>
      <right style="thin">
        <color auto="1"/>
      </right>
      <top/>
      <bottom/>
      <diagonal/>
    </border>
    <border>
      <left style="thin">
        <color auto="1"/>
      </left>
      <right/>
      <top style="dashed">
        <color auto="1"/>
      </top>
      <bottom style="dashed">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ck">
        <color rgb="FF000000"/>
      </right>
      <top/>
      <bottom style="medium">
        <color rgb="FF000000"/>
      </bottom>
      <diagonal/>
    </border>
    <border>
      <left style="medium">
        <color auto="1"/>
      </left>
      <right style="medium">
        <color auto="1"/>
      </right>
      <top style="medium">
        <color auto="1"/>
      </top>
      <bottom/>
      <diagonal/>
    </border>
    <border>
      <left style="medium">
        <color auto="1"/>
      </left>
      <right style="dashed">
        <color auto="1"/>
      </right>
      <top style="medium">
        <color auto="1"/>
      </top>
      <bottom/>
      <diagonal/>
    </border>
    <border>
      <left style="medium">
        <color auto="1"/>
      </left>
      <right style="medium">
        <color auto="1"/>
      </right>
      <top/>
      <bottom/>
      <diagonal/>
    </border>
    <border>
      <left style="medium">
        <color auto="1"/>
      </left>
      <right style="dashed">
        <color auto="1"/>
      </right>
      <top/>
      <bottom/>
      <diagonal/>
    </border>
    <border>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dashed">
        <color auto="1"/>
      </right>
      <top/>
      <bottom style="medium">
        <color auto="1"/>
      </bottom>
      <diagonal/>
    </border>
  </borders>
  <cellStyleXfs count="9">
    <xf numFmtId="0" fontId="0" fillId="0" borderId="0"/>
    <xf numFmtId="9" fontId="1" fillId="0" borderId="0" applyBorder="0" applyAlignment="0" applyProtection="0"/>
    <xf numFmtId="164" fontId="2" fillId="0" borderId="0"/>
    <xf numFmtId="164" fontId="2" fillId="0" borderId="0"/>
    <xf numFmtId="165" fontId="106" fillId="0" borderId="0"/>
    <xf numFmtId="0" fontId="2" fillId="0" borderId="0"/>
    <xf numFmtId="0" fontId="106" fillId="0" borderId="0"/>
    <xf numFmtId="0" fontId="2" fillId="0" borderId="0"/>
    <xf numFmtId="0" fontId="78" fillId="0" borderId="0" applyNumberFormat="0" applyFill="0" applyBorder="0" applyAlignment="0" applyProtection="0"/>
  </cellStyleXfs>
  <cellXfs count="769">
    <xf numFmtId="0" fontId="0" fillId="0" borderId="0" xfId="0"/>
    <xf numFmtId="0" fontId="50" fillId="0" borderId="0" xfId="0" applyFont="1" applyAlignment="1">
      <alignment horizontal="left" vertical="top" wrapText="1"/>
    </xf>
    <xf numFmtId="0" fontId="52" fillId="0" borderId="0" xfId="0" applyFont="1" applyAlignment="1">
      <alignment vertical="center" wrapText="1"/>
    </xf>
    <xf numFmtId="0" fontId="31" fillId="0" borderId="0" xfId="0" applyFont="1" applyAlignment="1">
      <alignment horizontal="center"/>
    </xf>
    <xf numFmtId="0" fontId="3" fillId="0" borderId="0" xfId="7" applyFont="1" applyAlignment="1">
      <alignment vertical="center"/>
    </xf>
    <xf numFmtId="0" fontId="3" fillId="0" borderId="0" xfId="7" applyFont="1" applyAlignment="1">
      <alignment horizontal="right" vertical="center"/>
    </xf>
    <xf numFmtId="0" fontId="4" fillId="0" borderId="0" xfId="7" applyFont="1" applyAlignment="1">
      <alignment vertical="center"/>
    </xf>
    <xf numFmtId="0" fontId="5" fillId="0" borderId="0" xfId="7" applyFont="1" applyAlignment="1">
      <alignment vertical="center"/>
    </xf>
    <xf numFmtId="0" fontId="6" fillId="0" borderId="0" xfId="7" applyFont="1" applyAlignment="1">
      <alignment vertical="center"/>
    </xf>
    <xf numFmtId="0" fontId="7" fillId="0" borderId="0" xfId="7" applyFont="1" applyAlignment="1">
      <alignment vertical="center" wrapText="1"/>
    </xf>
    <xf numFmtId="166" fontId="8" fillId="0" borderId="0" xfId="7" applyNumberFormat="1" applyFont="1" applyAlignment="1">
      <alignment vertical="center" wrapText="1"/>
    </xf>
    <xf numFmtId="0" fontId="10" fillId="0" borderId="0" xfId="7" applyFont="1" applyAlignment="1">
      <alignment vertical="center" wrapText="1"/>
    </xf>
    <xf numFmtId="0" fontId="10" fillId="5" borderId="0" xfId="7" applyFont="1" applyFill="1" applyAlignment="1">
      <alignment vertical="center" wrapText="1"/>
    </xf>
    <xf numFmtId="0" fontId="11" fillId="5" borderId="0" xfId="7" applyFont="1" applyFill="1" applyAlignment="1">
      <alignment vertical="center" wrapText="1"/>
    </xf>
    <xf numFmtId="0" fontId="13" fillId="0" borderId="0" xfId="7" applyFont="1" applyAlignment="1">
      <alignment vertical="center"/>
    </xf>
    <xf numFmtId="0" fontId="14" fillId="0" borderId="1" xfId="7" applyFont="1" applyBorder="1" applyAlignment="1">
      <alignment vertical="center" wrapText="1"/>
    </xf>
    <xf numFmtId="0" fontId="15" fillId="0" borderId="1" xfId="7" applyFont="1" applyBorder="1" applyAlignment="1">
      <alignment horizontal="center" vertical="center" wrapText="1"/>
    </xf>
    <xf numFmtId="167" fontId="2" fillId="0" borderId="1" xfId="7" applyNumberFormat="1" applyBorder="1" applyAlignment="1">
      <alignment horizontal="center" vertical="center" wrapText="1"/>
    </xf>
    <xf numFmtId="167" fontId="9" fillId="0" borderId="1" xfId="7" applyNumberFormat="1" applyFont="1" applyBorder="1" applyAlignment="1">
      <alignment horizontal="center" vertical="center" wrapText="1"/>
    </xf>
    <xf numFmtId="167" fontId="9" fillId="5" borderId="1" xfId="7" applyNumberFormat="1" applyFont="1" applyFill="1" applyBorder="1" applyAlignment="1">
      <alignment horizontal="center" vertical="center" wrapText="1"/>
    </xf>
    <xf numFmtId="167" fontId="16" fillId="5" borderId="1" xfId="7" applyNumberFormat="1" applyFont="1" applyFill="1" applyBorder="1" applyAlignment="1">
      <alignment horizontal="center" vertical="center" wrapText="1"/>
    </xf>
    <xf numFmtId="167" fontId="17" fillId="0" borderId="1" xfId="7" applyNumberFormat="1" applyFont="1" applyBorder="1" applyAlignment="1">
      <alignment horizontal="center" vertical="center" wrapText="1"/>
    </xf>
    <xf numFmtId="0" fontId="18" fillId="0" borderId="0" xfId="7" applyFont="1" applyAlignment="1">
      <alignment vertical="center"/>
    </xf>
    <xf numFmtId="168" fontId="0" fillId="0" borderId="0" xfId="3" applyNumberFormat="1" applyFont="1" applyAlignment="1">
      <alignment horizontal="center" vertical="center" wrapText="1"/>
    </xf>
    <xf numFmtId="2" fontId="0" fillId="0" borderId="0" xfId="3" applyNumberFormat="1" applyFont="1" applyAlignment="1">
      <alignment horizontal="center" vertical="center" wrapText="1"/>
    </xf>
    <xf numFmtId="2" fontId="19" fillId="0" borderId="0" xfId="3" applyNumberFormat="1" applyFont="1" applyAlignment="1">
      <alignment horizontal="center" vertical="center" wrapText="1"/>
    </xf>
    <xf numFmtId="2" fontId="18" fillId="5" borderId="0" xfId="3" applyNumberFormat="1" applyFont="1" applyFill="1" applyAlignment="1">
      <alignment horizontal="center" vertical="center" wrapText="1"/>
    </xf>
    <xf numFmtId="2" fontId="20" fillId="6" borderId="0" xfId="3" applyNumberFormat="1" applyFont="1" applyFill="1" applyAlignment="1">
      <alignment horizontal="center" vertical="center" wrapText="1"/>
    </xf>
    <xf numFmtId="2" fontId="21" fillId="6" borderId="0" xfId="3" applyNumberFormat="1" applyFont="1" applyFill="1" applyAlignment="1">
      <alignment horizontal="center" vertical="center" wrapText="1"/>
    </xf>
    <xf numFmtId="168" fontId="19" fillId="0" borderId="0" xfId="3" applyNumberFormat="1" applyFont="1" applyAlignment="1">
      <alignment horizontal="center" vertical="center" wrapText="1"/>
    </xf>
    <xf numFmtId="0" fontId="2" fillId="0" borderId="0" xfId="7" applyAlignment="1">
      <alignment vertical="center"/>
    </xf>
    <xf numFmtId="2" fontId="2" fillId="0" borderId="0" xfId="3" applyNumberFormat="1" applyAlignment="1">
      <alignment horizontal="center" vertical="center" wrapText="1"/>
    </xf>
    <xf numFmtId="2" fontId="9" fillId="0" borderId="0" xfId="3" applyNumberFormat="1" applyFont="1" applyAlignment="1">
      <alignment horizontal="center" vertical="center" wrapText="1"/>
    </xf>
    <xf numFmtId="168" fontId="2" fillId="0" borderId="0" xfId="3" applyNumberFormat="1" applyAlignment="1">
      <alignment horizontal="center" vertical="center" wrapText="1"/>
    </xf>
    <xf numFmtId="168" fontId="9" fillId="0" borderId="0" xfId="3" applyNumberFormat="1" applyFont="1" applyAlignment="1">
      <alignment horizontal="center" vertical="center" wrapText="1"/>
    </xf>
    <xf numFmtId="0" fontId="22" fillId="0" borderId="0" xfId="7" applyFont="1" applyAlignment="1">
      <alignment vertical="center" wrapText="1"/>
    </xf>
    <xf numFmtId="0" fontId="9" fillId="0" borderId="0" xfId="7" applyFont="1" applyAlignment="1">
      <alignment vertical="center" wrapText="1"/>
    </xf>
    <xf numFmtId="0" fontId="23" fillId="0" borderId="0" xfId="7" applyFont="1" applyAlignment="1">
      <alignment horizontal="center" vertical="center" wrapText="1"/>
    </xf>
    <xf numFmtId="167" fontId="24" fillId="0" borderId="0" xfId="7" applyNumberFormat="1" applyFont="1" applyAlignment="1">
      <alignment horizontal="center" vertical="center" wrapText="1"/>
    </xf>
    <xf numFmtId="167" fontId="25" fillId="0" borderId="0" xfId="7" applyNumberFormat="1" applyFont="1" applyAlignment="1">
      <alignment horizontal="center" vertical="center" wrapText="1"/>
    </xf>
    <xf numFmtId="167" fontId="25" fillId="5" borderId="0" xfId="7" applyNumberFormat="1" applyFont="1" applyFill="1" applyAlignment="1">
      <alignment horizontal="center" vertical="center" wrapText="1"/>
    </xf>
    <xf numFmtId="167" fontId="26" fillId="5" borderId="0" xfId="7" applyNumberFormat="1" applyFont="1" applyFill="1" applyAlignment="1">
      <alignment horizontal="center" vertical="center" wrapText="1"/>
    </xf>
    <xf numFmtId="0" fontId="2" fillId="0" borderId="0" xfId="7" applyAlignment="1">
      <alignment horizontal="left" vertical="center"/>
    </xf>
    <xf numFmtId="168" fontId="2" fillId="0" borderId="0" xfId="7" applyNumberFormat="1" applyAlignment="1">
      <alignment horizontal="center" vertical="center"/>
    </xf>
    <xf numFmtId="168" fontId="2" fillId="5" borderId="0" xfId="3" applyNumberFormat="1" applyFill="1" applyAlignment="1">
      <alignment horizontal="center" vertical="center" wrapText="1"/>
    </xf>
    <xf numFmtId="168" fontId="0" fillId="5" borderId="0" xfId="3" applyNumberFormat="1" applyFont="1" applyFill="1" applyAlignment="1">
      <alignment horizontal="center" vertical="center" wrapText="1"/>
    </xf>
    <xf numFmtId="0" fontId="27" fillId="0" borderId="0" xfId="7" applyFont="1" applyAlignment="1">
      <alignment vertical="top" wrapText="1"/>
    </xf>
    <xf numFmtId="0" fontId="28" fillId="0" borderId="0" xfId="7" applyFont="1" applyAlignment="1">
      <alignment vertical="top" wrapText="1"/>
    </xf>
    <xf numFmtId="0" fontId="6" fillId="0" borderId="0" xfId="7" applyFont="1" applyAlignment="1">
      <alignment vertical="center" wrapText="1"/>
    </xf>
    <xf numFmtId="0" fontId="29" fillId="0" borderId="2" xfId="0" applyFont="1" applyBorder="1" applyAlignment="1">
      <alignment vertical="center"/>
    </xf>
    <xf numFmtId="0" fontId="29" fillId="0" borderId="3" xfId="0" applyFont="1" applyBorder="1" applyAlignment="1">
      <alignment vertical="center"/>
    </xf>
    <xf numFmtId="0" fontId="30" fillId="0" borderId="0" xfId="0" applyFont="1" applyAlignment="1">
      <alignment vertical="center"/>
    </xf>
    <xf numFmtId="0" fontId="31" fillId="0" borderId="4" xfId="0" applyFont="1" applyBorder="1" applyAlignment="1">
      <alignment vertical="center"/>
    </xf>
    <xf numFmtId="0" fontId="30" fillId="0" borderId="5" xfId="0" applyFont="1" applyBorder="1" applyAlignment="1">
      <alignment vertical="center"/>
    </xf>
    <xf numFmtId="0" fontId="32" fillId="7" borderId="6" xfId="0" applyFont="1" applyFill="1" applyBorder="1" applyAlignment="1">
      <alignment horizontal="center" vertical="center"/>
    </xf>
    <xf numFmtId="0" fontId="32" fillId="7" borderId="7" xfId="0" applyFont="1" applyFill="1" applyBorder="1" applyAlignment="1">
      <alignment horizontal="center" vertical="center"/>
    </xf>
    <xf numFmtId="0" fontId="33" fillId="7" borderId="9" xfId="0" applyFont="1" applyFill="1" applyBorder="1" applyAlignment="1">
      <alignment horizontal="center" vertical="center"/>
    </xf>
    <xf numFmtId="0" fontId="34" fillId="0" borderId="0" xfId="0" applyFont="1" applyAlignment="1">
      <alignment vertical="center"/>
    </xf>
    <xf numFmtId="0" fontId="34" fillId="0" borderId="10" xfId="0" applyFont="1" applyBorder="1" applyAlignment="1">
      <alignment vertical="center"/>
    </xf>
    <xf numFmtId="0" fontId="32" fillId="8" borderId="0" xfId="0" applyFont="1" applyFill="1" applyAlignment="1">
      <alignment horizontal="center" vertical="center"/>
    </xf>
    <xf numFmtId="0" fontId="30" fillId="0" borderId="10" xfId="0" applyFont="1" applyBorder="1" applyAlignment="1">
      <alignment vertical="center"/>
    </xf>
    <xf numFmtId="0" fontId="35" fillId="7" borderId="9" xfId="0" applyFont="1" applyFill="1" applyBorder="1" applyAlignment="1">
      <alignment horizontal="center" vertical="center"/>
    </xf>
    <xf numFmtId="0" fontId="36" fillId="9" borderId="0" xfId="0" applyFont="1" applyFill="1" applyAlignment="1">
      <alignment vertical="center"/>
    </xf>
    <xf numFmtId="169" fontId="37" fillId="0" borderId="0" xfId="0" applyNumberFormat="1" applyFont="1"/>
    <xf numFmtId="0" fontId="38" fillId="10" borderId="0" xfId="0" applyFont="1" applyFill="1" applyAlignment="1">
      <alignment vertical="center"/>
    </xf>
    <xf numFmtId="0" fontId="39" fillId="11" borderId="0" xfId="0" applyFont="1" applyFill="1" applyAlignment="1">
      <alignment vertical="center"/>
    </xf>
    <xf numFmtId="0" fontId="40" fillId="7" borderId="11" xfId="0" applyFont="1" applyFill="1" applyBorder="1" applyAlignment="1">
      <alignment horizontal="center" vertical="center"/>
    </xf>
    <xf numFmtId="169" fontId="41" fillId="0" borderId="12" xfId="0" applyNumberFormat="1" applyFont="1" applyBorder="1" applyAlignment="1">
      <alignment horizontal="center" vertical="center"/>
    </xf>
    <xf numFmtId="9" fontId="37" fillId="0" borderId="0" xfId="0" applyNumberFormat="1" applyFont="1"/>
    <xf numFmtId="4" fontId="37" fillId="0" borderId="0" xfId="0" applyNumberFormat="1" applyFont="1"/>
    <xf numFmtId="0" fontId="33" fillId="0" borderId="0" xfId="0" applyFont="1" applyAlignment="1">
      <alignment horizontal="center"/>
    </xf>
    <xf numFmtId="0" fontId="30" fillId="0" borderId="0" xfId="0" applyFont="1"/>
    <xf numFmtId="170" fontId="44" fillId="0" borderId="0" xfId="0" applyNumberFormat="1" applyFont="1" applyAlignment="1">
      <alignment horizontal="center"/>
    </xf>
    <xf numFmtId="170" fontId="45" fillId="0" borderId="0" xfId="0" applyNumberFormat="1" applyFont="1" applyAlignment="1">
      <alignment horizontal="center"/>
    </xf>
    <xf numFmtId="3" fontId="46" fillId="12" borderId="0" xfId="0" applyNumberFormat="1" applyFont="1" applyFill="1" applyAlignment="1">
      <alignment horizontal="center"/>
    </xf>
    <xf numFmtId="9" fontId="0" fillId="0" borderId="0" xfId="0" applyNumberFormat="1"/>
    <xf numFmtId="0" fontId="33" fillId="13" borderId="0" xfId="0" applyFont="1" applyFill="1"/>
    <xf numFmtId="0" fontId="33" fillId="8" borderId="0" xfId="0" applyFont="1" applyFill="1"/>
    <xf numFmtId="0" fontId="47" fillId="8" borderId="0" xfId="0" applyFont="1" applyFill="1"/>
    <xf numFmtId="0" fontId="48" fillId="0" borderId="14" xfId="0" applyFont="1" applyBorder="1"/>
    <xf numFmtId="0" fontId="49" fillId="0" borderId="14" xfId="0" applyFont="1" applyBorder="1" applyAlignment="1">
      <alignment vertical="top" wrapText="1"/>
    </xf>
    <xf numFmtId="170" fontId="14" fillId="14" borderId="14" xfId="0" applyNumberFormat="1" applyFont="1" applyFill="1" applyBorder="1"/>
    <xf numFmtId="170" fontId="14" fillId="0" borderId="14" xfId="0" applyNumberFormat="1" applyFont="1" applyBorder="1"/>
    <xf numFmtId="0" fontId="48" fillId="0" borderId="0" xfId="0" applyFont="1"/>
    <xf numFmtId="0" fontId="49" fillId="0" borderId="0" xfId="0" applyFont="1" applyAlignment="1">
      <alignment vertical="top" wrapText="1"/>
    </xf>
    <xf numFmtId="2" fontId="0" fillId="14" borderId="0" xfId="0" applyNumberFormat="1" applyFill="1"/>
    <xf numFmtId="9" fontId="51" fillId="14" borderId="0" xfId="0" applyNumberFormat="1" applyFont="1" applyFill="1" applyAlignment="1">
      <alignment horizontal="center" vertical="center"/>
    </xf>
    <xf numFmtId="9" fontId="51" fillId="0" borderId="0" xfId="0" applyNumberFormat="1" applyFont="1" applyAlignment="1">
      <alignment horizontal="center" vertical="center"/>
    </xf>
    <xf numFmtId="2" fontId="0" fillId="15" borderId="0" xfId="0" applyNumberFormat="1" applyFill="1"/>
    <xf numFmtId="0" fontId="50" fillId="0" borderId="0" xfId="0" applyFont="1" applyAlignment="1">
      <alignment horizontal="center" vertical="top" wrapText="1"/>
    </xf>
    <xf numFmtId="0" fontId="50" fillId="0" borderId="0" xfId="0" applyFont="1" applyAlignment="1">
      <alignment horizontal="left" wrapText="1"/>
    </xf>
    <xf numFmtId="0" fontId="50" fillId="0" borderId="0" xfId="0" applyFont="1" applyAlignment="1">
      <alignment horizontal="right" wrapText="1"/>
    </xf>
    <xf numFmtId="0" fontId="52" fillId="0" borderId="0" xfId="0" applyFont="1" applyAlignment="1">
      <alignment horizontal="right" wrapText="1"/>
    </xf>
    <xf numFmtId="0" fontId="49" fillId="0" borderId="0" xfId="0" applyFont="1"/>
    <xf numFmtId="170" fontId="53" fillId="14" borderId="0" xfId="0" applyNumberFormat="1" applyFont="1" applyFill="1" applyAlignment="1">
      <alignment horizontal="center" vertical="center"/>
    </xf>
    <xf numFmtId="170" fontId="53" fillId="0" borderId="0" xfId="0" applyNumberFormat="1" applyFont="1" applyAlignment="1">
      <alignment horizontal="center" vertical="center"/>
    </xf>
    <xf numFmtId="170" fontId="19" fillId="15" borderId="0" xfId="0" applyNumberFormat="1" applyFont="1" applyFill="1" applyAlignment="1">
      <alignment horizontal="center" vertical="center"/>
    </xf>
    <xf numFmtId="170" fontId="45" fillId="15" borderId="0" xfId="0" applyNumberFormat="1" applyFont="1" applyFill="1" applyAlignment="1">
      <alignment horizontal="center" vertical="center"/>
    </xf>
    <xf numFmtId="9" fontId="50" fillId="0" borderId="0" xfId="0" applyNumberFormat="1" applyFont="1" applyAlignment="1">
      <alignment horizontal="center" vertical="top" wrapText="1"/>
    </xf>
    <xf numFmtId="0" fontId="49" fillId="0" borderId="0" xfId="0" applyFont="1" applyAlignment="1">
      <alignment vertical="top"/>
    </xf>
    <xf numFmtId="169" fontId="54" fillId="12" borderId="0" xfId="0" applyNumberFormat="1" applyFont="1" applyFill="1"/>
    <xf numFmtId="169" fontId="55" fillId="15" borderId="0" xfId="0" applyNumberFormat="1" applyFont="1" applyFill="1"/>
    <xf numFmtId="169" fontId="55" fillId="12" borderId="0" xfId="0" applyNumberFormat="1" applyFont="1" applyFill="1"/>
    <xf numFmtId="0" fontId="52" fillId="0" borderId="0" xfId="0" applyFont="1" applyAlignment="1">
      <alignment vertical="center"/>
    </xf>
    <xf numFmtId="170" fontId="18" fillId="15" borderId="0" xfId="0" applyNumberFormat="1" applyFont="1" applyFill="1" applyAlignment="1">
      <alignment horizontal="center" vertical="center"/>
    </xf>
    <xf numFmtId="169" fontId="54" fillId="15" borderId="0" xfId="0" applyNumberFormat="1" applyFont="1" applyFill="1"/>
    <xf numFmtId="0" fontId="48" fillId="0" borderId="15" xfId="0" applyFont="1" applyBorder="1"/>
    <xf numFmtId="0" fontId="49" fillId="0" borderId="15" xfId="0" applyFont="1" applyBorder="1" applyAlignment="1">
      <alignment vertical="top" wrapText="1"/>
    </xf>
    <xf numFmtId="170" fontId="53" fillId="14" borderId="15" xfId="0" applyNumberFormat="1" applyFont="1" applyFill="1" applyBorder="1" applyAlignment="1">
      <alignment horizontal="center" vertical="center"/>
    </xf>
    <xf numFmtId="170" fontId="53" fillId="0" borderId="15" xfId="0" applyNumberFormat="1" applyFont="1" applyBorder="1" applyAlignment="1">
      <alignment horizontal="center" vertical="center"/>
    </xf>
    <xf numFmtId="170" fontId="18" fillId="15" borderId="15" xfId="0" applyNumberFormat="1" applyFont="1" applyFill="1" applyBorder="1" applyAlignment="1">
      <alignment horizontal="center" vertical="center"/>
    </xf>
    <xf numFmtId="9" fontId="0" fillId="15" borderId="0" xfId="0" applyNumberFormat="1" applyFill="1"/>
    <xf numFmtId="170" fontId="50" fillId="0" borderId="0" xfId="0" applyNumberFormat="1" applyFont="1" applyAlignment="1">
      <alignment horizontal="left" vertical="top" wrapText="1"/>
    </xf>
    <xf numFmtId="169" fontId="57" fillId="14" borderId="0" xfId="0" applyNumberFormat="1" applyFont="1" applyFill="1"/>
    <xf numFmtId="169" fontId="57" fillId="0" borderId="0" xfId="0" applyNumberFormat="1" applyFont="1"/>
    <xf numFmtId="9" fontId="58" fillId="14" borderId="0" xfId="0" applyNumberFormat="1" applyFont="1" applyFill="1" applyAlignment="1">
      <alignment horizontal="center" vertical="center"/>
    </xf>
    <xf numFmtId="9" fontId="58" fillId="0" borderId="0" xfId="0" applyNumberFormat="1" applyFont="1" applyAlignment="1">
      <alignment horizontal="center" vertical="center"/>
    </xf>
    <xf numFmtId="169" fontId="0" fillId="14" borderId="0" xfId="0" applyNumberFormat="1" applyFill="1"/>
    <xf numFmtId="169" fontId="0" fillId="0" borderId="0" xfId="0" applyNumberFormat="1"/>
    <xf numFmtId="170" fontId="53" fillId="14" borderId="14" xfId="0" applyNumberFormat="1" applyFont="1" applyFill="1" applyBorder="1"/>
    <xf numFmtId="170" fontId="53" fillId="0" borderId="14" xfId="0" applyNumberFormat="1" applyFont="1" applyBorder="1"/>
    <xf numFmtId="170" fontId="53" fillId="14" borderId="14" xfId="0" applyNumberFormat="1" applyFont="1" applyFill="1" applyBorder="1" applyAlignment="1">
      <alignment horizontal="center" vertical="center"/>
    </xf>
    <xf numFmtId="170" fontId="53" fillId="0" borderId="14" xfId="0" applyNumberFormat="1" applyFont="1" applyBorder="1" applyAlignment="1">
      <alignment horizontal="center" vertical="center"/>
    </xf>
    <xf numFmtId="2" fontId="0" fillId="15" borderId="14" xfId="0" applyNumberFormat="1" applyFill="1" applyBorder="1"/>
    <xf numFmtId="9" fontId="50" fillId="0" borderId="0" xfId="0" applyNumberFormat="1" applyFont="1" applyAlignment="1">
      <alignment horizontal="left" vertical="top" wrapText="1"/>
    </xf>
    <xf numFmtId="170" fontId="18" fillId="14" borderId="0" xfId="0" applyNumberFormat="1" applyFont="1" applyFill="1"/>
    <xf numFmtId="170" fontId="18" fillId="0" borderId="0" xfId="0" applyNumberFormat="1" applyFont="1"/>
    <xf numFmtId="170" fontId="18" fillId="15" borderId="0" xfId="0" applyNumberFormat="1" applyFont="1" applyFill="1"/>
    <xf numFmtId="170" fontId="56" fillId="15" borderId="0" xfId="0" applyNumberFormat="1" applyFont="1" applyFill="1"/>
    <xf numFmtId="0" fontId="59" fillId="0" borderId="0" xfId="0" applyFont="1" applyAlignment="1">
      <alignment vertical="top"/>
    </xf>
    <xf numFmtId="9" fontId="18" fillId="15" borderId="0" xfId="0" applyNumberFormat="1" applyFont="1" applyFill="1"/>
    <xf numFmtId="9" fontId="56" fillId="15" borderId="0" xfId="0" applyNumberFormat="1" applyFont="1" applyFill="1"/>
    <xf numFmtId="2" fontId="0" fillId="0" borderId="0" xfId="0" applyNumberFormat="1"/>
    <xf numFmtId="0" fontId="49" fillId="0" borderId="0" xfId="0" applyFont="1" applyAlignment="1">
      <alignment vertical="center"/>
    </xf>
    <xf numFmtId="170" fontId="53" fillId="14" borderId="0" xfId="0" applyNumberFormat="1" applyFont="1" applyFill="1"/>
    <xf numFmtId="170" fontId="53" fillId="0" borderId="0" xfId="0" applyNumberFormat="1" applyFont="1"/>
    <xf numFmtId="0" fontId="59" fillId="0" borderId="0" xfId="0" applyFont="1" applyAlignment="1">
      <alignment vertical="top" wrapText="1"/>
    </xf>
    <xf numFmtId="9" fontId="58" fillId="15" borderId="0" xfId="0" applyNumberFormat="1" applyFont="1" applyFill="1" applyAlignment="1">
      <alignment horizontal="center" vertical="center"/>
    </xf>
    <xf numFmtId="170" fontId="19" fillId="14" borderId="0" xfId="0" applyNumberFormat="1" applyFont="1" applyFill="1" applyAlignment="1">
      <alignment horizontal="center" vertical="center"/>
    </xf>
    <xf numFmtId="170" fontId="19" fillId="0" borderId="0" xfId="0" applyNumberFormat="1" applyFont="1" applyAlignment="1">
      <alignment horizontal="center" vertical="center"/>
    </xf>
    <xf numFmtId="0" fontId="50" fillId="0" borderId="0" xfId="0" applyFont="1" applyAlignment="1">
      <alignment horizontal="left" vertical="top" wrapText="1" indent="2"/>
    </xf>
    <xf numFmtId="170" fontId="14" fillId="15" borderId="14" xfId="0" applyNumberFormat="1" applyFont="1" applyFill="1" applyBorder="1"/>
    <xf numFmtId="170" fontId="14" fillId="14" borderId="0" xfId="0" applyNumberFormat="1" applyFont="1" applyFill="1"/>
    <xf numFmtId="170" fontId="14" fillId="0" borderId="0" xfId="0" applyNumberFormat="1" applyFont="1"/>
    <xf numFmtId="170" fontId="14" fillId="15" borderId="0" xfId="0" applyNumberFormat="1" applyFont="1" applyFill="1"/>
    <xf numFmtId="170" fontId="60" fillId="15" borderId="0" xfId="0" applyNumberFormat="1" applyFont="1" applyFill="1"/>
    <xf numFmtId="170" fontId="19" fillId="14" borderId="0" xfId="0" applyNumberFormat="1" applyFont="1" applyFill="1"/>
    <xf numFmtId="170" fontId="19" fillId="0" borderId="0" xfId="0" applyNumberFormat="1" applyFont="1"/>
    <xf numFmtId="0" fontId="50" fillId="0" borderId="0" xfId="0" applyFont="1" applyAlignment="1">
      <alignment wrapText="1"/>
    </xf>
    <xf numFmtId="3" fontId="61" fillId="5" borderId="0" xfId="0" applyNumberFormat="1" applyFont="1" applyFill="1" applyAlignment="1">
      <alignment horizontal="right" vertical="center" indent="2"/>
    </xf>
    <xf numFmtId="0" fontId="30" fillId="5" borderId="0" xfId="0" applyFont="1" applyFill="1"/>
    <xf numFmtId="0" fontId="62" fillId="5" borderId="0" xfId="0" applyFont="1" applyFill="1"/>
    <xf numFmtId="0" fontId="49" fillId="5" borderId="0" xfId="0" applyFont="1" applyFill="1" applyAlignment="1">
      <alignment vertical="top" wrapText="1"/>
    </xf>
    <xf numFmtId="3" fontId="0" fillId="0" borderId="0" xfId="0" applyNumberFormat="1"/>
    <xf numFmtId="0" fontId="63" fillId="0" borderId="0" xfId="0" applyFont="1"/>
    <xf numFmtId="9" fontId="64" fillId="14" borderId="0" xfId="0" applyNumberFormat="1" applyFont="1" applyFill="1"/>
    <xf numFmtId="9" fontId="64" fillId="0" borderId="0" xfId="0" applyNumberFormat="1" applyFont="1"/>
    <xf numFmtId="9" fontId="64" fillId="15" borderId="0" xfId="0" applyNumberFormat="1" applyFont="1" applyFill="1"/>
    <xf numFmtId="170" fontId="19" fillId="15" borderId="0" xfId="0" applyNumberFormat="1" applyFont="1" applyFill="1"/>
    <xf numFmtId="170" fontId="19" fillId="14" borderId="14" xfId="0" applyNumberFormat="1" applyFont="1" applyFill="1" applyBorder="1"/>
    <xf numFmtId="170" fontId="19" fillId="0" borderId="14" xfId="0" applyNumberFormat="1" applyFont="1" applyBorder="1"/>
    <xf numFmtId="170" fontId="19" fillId="15" borderId="14" xfId="0" applyNumberFormat="1" applyFont="1" applyFill="1" applyBorder="1"/>
    <xf numFmtId="0" fontId="65" fillId="0" borderId="14" xfId="0" applyFont="1" applyBorder="1"/>
    <xf numFmtId="3" fontId="61" fillId="14" borderId="0" xfId="0" applyNumberFormat="1" applyFont="1" applyFill="1"/>
    <xf numFmtId="3" fontId="61" fillId="0" borderId="0" xfId="0" applyNumberFormat="1" applyFont="1"/>
    <xf numFmtId="0" fontId="61" fillId="0" borderId="0" xfId="0" applyFont="1" applyAlignment="1">
      <alignment horizontal="right" wrapText="1"/>
    </xf>
    <xf numFmtId="3" fontId="66" fillId="5" borderId="0" xfId="0" applyNumberFormat="1" applyFont="1" applyFill="1" applyAlignment="1">
      <alignment horizontal="right" vertical="center" indent="2"/>
    </xf>
    <xf numFmtId="0" fontId="67" fillId="0" borderId="0" xfId="0" applyFont="1" applyAlignment="1">
      <alignment horizontal="left" vertical="top" wrapText="1"/>
    </xf>
    <xf numFmtId="0" fontId="67" fillId="0" borderId="0" xfId="0" applyFont="1" applyAlignment="1">
      <alignment wrapText="1"/>
    </xf>
    <xf numFmtId="0" fontId="68" fillId="0" borderId="0" xfId="0" applyFont="1" applyAlignment="1">
      <alignment horizontal="right" wrapText="1"/>
    </xf>
    <xf numFmtId="3" fontId="66" fillId="0" borderId="0" xfId="0" applyNumberFormat="1" applyFont="1" applyAlignment="1">
      <alignment horizontal="right" vertical="center" indent="2"/>
    </xf>
    <xf numFmtId="0" fontId="62" fillId="5" borderId="15" xfId="0" applyFont="1" applyFill="1" applyBorder="1"/>
    <xf numFmtId="0" fontId="30" fillId="5" borderId="15" xfId="0" applyFont="1" applyFill="1" applyBorder="1"/>
    <xf numFmtId="170" fontId="14" fillId="14" borderId="15" xfId="0" applyNumberFormat="1" applyFont="1" applyFill="1" applyBorder="1"/>
    <xf numFmtId="170" fontId="14" fillId="0" borderId="15" xfId="0" applyNumberFormat="1" applyFont="1" applyBorder="1"/>
    <xf numFmtId="170" fontId="14" fillId="15" borderId="15" xfId="0" applyNumberFormat="1" applyFont="1" applyFill="1" applyBorder="1"/>
    <xf numFmtId="0" fontId="62" fillId="5" borderId="14" xfId="0" applyFont="1" applyFill="1" applyBorder="1"/>
    <xf numFmtId="0" fontId="30" fillId="5" borderId="14" xfId="0" applyFont="1" applyFill="1" applyBorder="1"/>
    <xf numFmtId="0" fontId="67" fillId="0" borderId="0" xfId="0" applyFont="1" applyAlignment="1">
      <alignment horizontal="right" wrapText="1"/>
    </xf>
    <xf numFmtId="0" fontId="67" fillId="0" borderId="0" xfId="0" applyFont="1" applyAlignment="1">
      <alignment horizontal="left" wrapText="1"/>
    </xf>
    <xf numFmtId="9" fontId="0" fillId="14" borderId="0" xfId="0" applyNumberFormat="1" applyFill="1"/>
    <xf numFmtId="0" fontId="68" fillId="0" borderId="0" xfId="0" applyFont="1" applyAlignment="1">
      <alignment vertical="center" wrapText="1"/>
    </xf>
    <xf numFmtId="0" fontId="49" fillId="5" borderId="14" xfId="0" applyFont="1" applyFill="1" applyBorder="1" applyAlignment="1">
      <alignment vertical="center"/>
    </xf>
    <xf numFmtId="0" fontId="49" fillId="5" borderId="14" xfId="0" applyFont="1" applyFill="1" applyBorder="1" applyAlignment="1">
      <alignment vertical="top" wrapText="1"/>
    </xf>
    <xf numFmtId="0" fontId="49" fillId="5" borderId="0" xfId="0" applyFont="1" applyFill="1" applyAlignment="1">
      <alignment vertical="center"/>
    </xf>
    <xf numFmtId="0" fontId="49" fillId="5" borderId="0" xfId="0" applyFont="1" applyFill="1" applyAlignment="1">
      <alignment vertical="top"/>
    </xf>
    <xf numFmtId="0" fontId="63" fillId="14" borderId="0" xfId="0" applyFont="1" applyFill="1"/>
    <xf numFmtId="3" fontId="0" fillId="14" borderId="0" xfId="0" applyNumberFormat="1" applyFill="1"/>
    <xf numFmtId="0" fontId="0" fillId="15" borderId="0" xfId="0" applyFill="1"/>
    <xf numFmtId="0" fontId="14" fillId="0" borderId="16" xfId="0" applyFont="1" applyBorder="1"/>
    <xf numFmtId="0" fontId="0" fillId="0" borderId="16" xfId="0" applyBorder="1"/>
    <xf numFmtId="170" fontId="14" fillId="14" borderId="16" xfId="0" applyNumberFormat="1" applyFont="1" applyFill="1" applyBorder="1"/>
    <xf numFmtId="170" fontId="14" fillId="0" borderId="16" xfId="0" applyNumberFormat="1" applyFont="1" applyBorder="1"/>
    <xf numFmtId="170" fontId="14" fillId="15" borderId="16" xfId="0" applyNumberFormat="1" applyFont="1" applyFill="1" applyBorder="1"/>
    <xf numFmtId="49" fontId="33" fillId="13" borderId="0" xfId="0" applyNumberFormat="1" applyFont="1" applyFill="1" applyAlignment="1">
      <alignment horizontal="center"/>
    </xf>
    <xf numFmtId="9" fontId="51" fillId="14" borderId="0" xfId="0" applyNumberFormat="1" applyFont="1" applyFill="1"/>
    <xf numFmtId="9" fontId="51" fillId="0" borderId="0" xfId="0" applyNumberFormat="1" applyFont="1"/>
    <xf numFmtId="9" fontId="30" fillId="0" borderId="0" xfId="0" applyNumberFormat="1" applyFont="1"/>
    <xf numFmtId="9" fontId="30" fillId="15" borderId="0" xfId="0" applyNumberFormat="1" applyFont="1" applyFill="1"/>
    <xf numFmtId="0" fontId="31" fillId="0" borderId="14" xfId="0" applyFont="1" applyBorder="1"/>
    <xf numFmtId="0" fontId="30" fillId="0" borderId="14" xfId="0" applyFont="1" applyBorder="1"/>
    <xf numFmtId="170" fontId="19" fillId="5" borderId="0" xfId="0" applyNumberFormat="1" applyFont="1" applyFill="1"/>
    <xf numFmtId="9" fontId="54" fillId="12" borderId="0" xfId="0" applyNumberFormat="1" applyFont="1" applyFill="1"/>
    <xf numFmtId="9" fontId="54" fillId="15" borderId="0" xfId="0" applyNumberFormat="1" applyFont="1" applyFill="1"/>
    <xf numFmtId="9" fontId="70" fillId="0" borderId="0" xfId="0" applyNumberFormat="1" applyFont="1"/>
    <xf numFmtId="0" fontId="71" fillId="0" borderId="14" xfId="0" applyFont="1" applyBorder="1"/>
    <xf numFmtId="9" fontId="54" fillId="0" borderId="0" xfId="0" applyNumberFormat="1" applyFont="1"/>
    <xf numFmtId="0" fontId="0" fillId="0" borderId="0" xfId="6" applyFont="1"/>
    <xf numFmtId="0" fontId="33" fillId="8" borderId="17" xfId="6" applyFont="1" applyFill="1" applyBorder="1" applyAlignment="1">
      <alignment horizontal="center"/>
    </xf>
    <xf numFmtId="0" fontId="33" fillId="8" borderId="18" xfId="6" applyFont="1" applyFill="1" applyBorder="1" applyAlignment="1">
      <alignment horizontal="center"/>
    </xf>
    <xf numFmtId="0" fontId="72" fillId="8" borderId="19" xfId="6" applyFont="1" applyFill="1" applyBorder="1" applyAlignment="1">
      <alignment horizontal="center"/>
    </xf>
    <xf numFmtId="0" fontId="30" fillId="0" borderId="20" xfId="6" applyFont="1" applyBorder="1"/>
    <xf numFmtId="10" fontId="30" fillId="0" borderId="0" xfId="6" applyNumberFormat="1" applyFont="1"/>
    <xf numFmtId="0" fontId="30" fillId="0" borderId="21" xfId="6" applyFont="1" applyBorder="1"/>
    <xf numFmtId="10" fontId="0" fillId="0" borderId="0" xfId="6" applyNumberFormat="1" applyFont="1"/>
    <xf numFmtId="1" fontId="30" fillId="0" borderId="21" xfId="6" applyNumberFormat="1" applyFont="1" applyBorder="1"/>
    <xf numFmtId="10" fontId="30" fillId="0" borderId="22" xfId="6" applyNumberFormat="1" applyFont="1" applyBorder="1"/>
    <xf numFmtId="0" fontId="30" fillId="0" borderId="23" xfId="6" applyFont="1" applyBorder="1"/>
    <xf numFmtId="0" fontId="30" fillId="0" borderId="24" xfId="6" applyFont="1" applyBorder="1"/>
    <xf numFmtId="10" fontId="30" fillId="0" borderId="25" xfId="6" applyNumberFormat="1" applyFont="1" applyBorder="1"/>
    <xf numFmtId="0" fontId="30" fillId="0" borderId="26" xfId="6" applyFont="1" applyBorder="1"/>
    <xf numFmtId="170" fontId="19" fillId="0" borderId="0" xfId="0" applyNumberFormat="1" applyFont="1" applyAlignment="1">
      <alignment horizontal="center"/>
    </xf>
    <xf numFmtId="169" fontId="54" fillId="0" borderId="0" xfId="0" applyNumberFormat="1" applyFont="1"/>
    <xf numFmtId="3" fontId="73" fillId="12" borderId="0" xfId="0" applyNumberFormat="1" applyFont="1" applyFill="1" applyAlignment="1">
      <alignment horizontal="center"/>
    </xf>
    <xf numFmtId="0" fontId="74" fillId="0" borderId="0" xfId="0" applyFont="1" applyAlignment="1">
      <alignment horizontal="center"/>
    </xf>
    <xf numFmtId="49" fontId="35" fillId="13" borderId="0" xfId="0" applyNumberFormat="1" applyFont="1" applyFill="1" applyAlignment="1">
      <alignment horizontal="center"/>
    </xf>
    <xf numFmtId="49" fontId="35" fillId="0" borderId="0" xfId="0" applyNumberFormat="1" applyFont="1" applyAlignment="1">
      <alignment horizontal="center"/>
    </xf>
    <xf numFmtId="0" fontId="0" fillId="0" borderId="0" xfId="0" applyAlignment="1">
      <alignment horizontal="center"/>
    </xf>
    <xf numFmtId="0" fontId="33" fillId="14" borderId="0" xfId="0" applyFont="1" applyFill="1"/>
    <xf numFmtId="0" fontId="33" fillId="0" borderId="0" xfId="0" applyFont="1"/>
    <xf numFmtId="0" fontId="33" fillId="15" borderId="0" xfId="0" applyFont="1" applyFill="1"/>
    <xf numFmtId="0" fontId="75" fillId="0" borderId="0" xfId="0" applyFont="1" applyAlignment="1">
      <alignment horizontal="center"/>
    </xf>
    <xf numFmtId="0" fontId="31" fillId="0" borderId="15" xfId="0" applyFont="1" applyBorder="1" applyAlignment="1">
      <alignment horizontal="left"/>
    </xf>
    <xf numFmtId="0" fontId="0" fillId="0" borderId="15" xfId="0" applyBorder="1" applyAlignment="1">
      <alignment horizontal="center"/>
    </xf>
    <xf numFmtId="170" fontId="31" fillId="14" borderId="15" xfId="0" applyNumberFormat="1" applyFont="1" applyFill="1" applyBorder="1"/>
    <xf numFmtId="170" fontId="74" fillId="0" borderId="15" xfId="0" applyNumberFormat="1" applyFont="1" applyBorder="1" applyAlignment="1">
      <alignment horizontal="right"/>
    </xf>
    <xf numFmtId="170" fontId="31" fillId="15" borderId="15" xfId="0" applyNumberFormat="1" applyFont="1" applyFill="1" applyBorder="1"/>
    <xf numFmtId="170" fontId="74" fillId="0" borderId="0" xfId="0" applyNumberFormat="1" applyFont="1" applyAlignment="1">
      <alignment horizontal="right"/>
    </xf>
    <xf numFmtId="0" fontId="31" fillId="0" borderId="0" xfId="0" applyFont="1" applyAlignment="1">
      <alignment horizontal="left"/>
    </xf>
    <xf numFmtId="0" fontId="31" fillId="0" borderId="14" xfId="0" applyFont="1" applyBorder="1" applyAlignment="1">
      <alignment horizontal="left"/>
    </xf>
    <xf numFmtId="0" fontId="0" fillId="0" borderId="14" xfId="0" applyBorder="1" applyAlignment="1">
      <alignment horizontal="center"/>
    </xf>
    <xf numFmtId="170" fontId="31" fillId="14" borderId="14" xfId="0" applyNumberFormat="1" applyFont="1" applyFill="1" applyBorder="1"/>
    <xf numFmtId="170" fontId="74" fillId="0" borderId="14" xfId="0" applyNumberFormat="1" applyFont="1" applyBorder="1" applyAlignment="1">
      <alignment horizontal="right"/>
    </xf>
    <xf numFmtId="170" fontId="31" fillId="15" borderId="14" xfId="0" applyNumberFormat="1" applyFont="1" applyFill="1" applyBorder="1"/>
    <xf numFmtId="170" fontId="53" fillId="0" borderId="0" xfId="0" applyNumberFormat="1" applyFont="1" applyAlignment="1">
      <alignment horizontal="right"/>
    </xf>
    <xf numFmtId="170" fontId="30" fillId="15" borderId="0" xfId="0" applyNumberFormat="1" applyFont="1" applyFill="1"/>
    <xf numFmtId="170" fontId="76" fillId="0" borderId="0" xfId="0" applyNumberFormat="1" applyFont="1" applyAlignment="1">
      <alignment horizontal="right"/>
    </xf>
    <xf numFmtId="170" fontId="77" fillId="0" borderId="0" xfId="0" applyNumberFormat="1" applyFont="1" applyAlignment="1">
      <alignment horizontal="right" vertical="top" wrapText="1"/>
    </xf>
    <xf numFmtId="0" fontId="78" fillId="0" borderId="0" xfId="0" applyFont="1" applyAlignment="1">
      <alignment horizontal="left" vertical="top" wrapText="1"/>
    </xf>
    <xf numFmtId="170" fontId="79" fillId="0" borderId="0" xfId="0" applyNumberFormat="1" applyFont="1" applyAlignment="1">
      <alignment horizontal="right" vertical="top" wrapText="1"/>
    </xf>
    <xf numFmtId="0" fontId="49" fillId="0" borderId="0" xfId="0" applyFont="1" applyAlignment="1">
      <alignment horizontal="left" vertical="top"/>
    </xf>
    <xf numFmtId="170" fontId="31" fillId="0" borderId="15" xfId="0" applyNumberFormat="1" applyFont="1" applyBorder="1"/>
    <xf numFmtId="0" fontId="48" fillId="0" borderId="0" xfId="0" applyFont="1" applyAlignment="1">
      <alignment vertical="top"/>
    </xf>
    <xf numFmtId="0" fontId="49" fillId="0" borderId="14" xfId="0" applyFont="1" applyBorder="1"/>
    <xf numFmtId="170" fontId="74" fillId="0" borderId="0" xfId="0" applyNumberFormat="1" applyFont="1" applyAlignment="1">
      <alignment horizontal="right" vertical="top" wrapText="1"/>
    </xf>
    <xf numFmtId="0" fontId="62" fillId="0" borderId="0" xfId="0" applyFont="1"/>
    <xf numFmtId="0" fontId="0" fillId="14" borderId="0" xfId="0" applyFill="1"/>
    <xf numFmtId="0" fontId="62" fillId="0" borderId="14" xfId="0" applyFont="1" applyBorder="1"/>
    <xf numFmtId="0" fontId="0" fillId="0" borderId="14" xfId="0" applyBorder="1"/>
    <xf numFmtId="0" fontId="31" fillId="0" borderId="16" xfId="0" applyFont="1" applyBorder="1"/>
    <xf numFmtId="0" fontId="31" fillId="0" borderId="15" xfId="0" applyFont="1" applyBorder="1"/>
    <xf numFmtId="0" fontId="0" fillId="0" borderId="15" xfId="0" applyBorder="1"/>
    <xf numFmtId="170" fontId="71" fillId="0" borderId="15" xfId="0" applyNumberFormat="1" applyFont="1" applyBorder="1" applyAlignment="1">
      <alignment horizontal="right"/>
    </xf>
    <xf numFmtId="170" fontId="80" fillId="0" borderId="0" xfId="0" applyNumberFormat="1" applyFont="1" applyAlignment="1">
      <alignment horizontal="right"/>
    </xf>
    <xf numFmtId="0" fontId="31" fillId="0" borderId="0" xfId="0" applyFont="1"/>
    <xf numFmtId="170" fontId="30" fillId="14" borderId="0" xfId="0" applyNumberFormat="1" applyFont="1" applyFill="1"/>
    <xf numFmtId="170" fontId="81" fillId="0" borderId="0" xfId="0" applyNumberFormat="1" applyFont="1" applyAlignment="1">
      <alignment horizontal="right"/>
    </xf>
    <xf numFmtId="170" fontId="30" fillId="0" borderId="0" xfId="0" applyNumberFormat="1" applyFont="1"/>
    <xf numFmtId="0" fontId="0" fillId="14" borderId="14" xfId="0" applyFill="1" applyBorder="1"/>
    <xf numFmtId="0" fontId="0" fillId="15" borderId="14" xfId="0" applyFill="1" applyBorder="1"/>
    <xf numFmtId="0" fontId="30" fillId="0" borderId="0" xfId="0" applyFont="1" applyAlignment="1">
      <alignment wrapText="1"/>
    </xf>
    <xf numFmtId="0" fontId="82" fillId="0" borderId="0" xfId="0" applyFont="1"/>
    <xf numFmtId="170" fontId="64" fillId="14" borderId="0" xfId="0" applyNumberFormat="1" applyFont="1" applyFill="1"/>
    <xf numFmtId="170" fontId="64" fillId="0" borderId="0" xfId="0" applyNumberFormat="1" applyFont="1"/>
    <xf numFmtId="3" fontId="54" fillId="12" borderId="0" xfId="0" applyNumberFormat="1" applyFont="1" applyFill="1"/>
    <xf numFmtId="3" fontId="54" fillId="15" borderId="0" xfId="0" applyNumberFormat="1" applyFont="1" applyFill="1"/>
    <xf numFmtId="170" fontId="30" fillId="14" borderId="14" xfId="0" applyNumberFormat="1" applyFont="1" applyFill="1" applyBorder="1"/>
    <xf numFmtId="170" fontId="30" fillId="0" borderId="14" xfId="0" applyNumberFormat="1" applyFont="1" applyBorder="1"/>
    <xf numFmtId="170" fontId="30" fillId="0" borderId="0" xfId="0" applyNumberFormat="1" applyFont="1" applyAlignment="1">
      <alignment vertical="center"/>
    </xf>
    <xf numFmtId="1" fontId="33" fillId="13" borderId="0" xfId="0" applyNumberFormat="1" applyFont="1" applyFill="1" applyAlignment="1">
      <alignment horizontal="center" vertical="center"/>
    </xf>
    <xf numFmtId="49" fontId="35" fillId="13" borderId="0" xfId="0" applyNumberFormat="1" applyFont="1" applyFill="1" applyAlignment="1">
      <alignment horizontal="center" vertical="center"/>
    </xf>
    <xf numFmtId="1" fontId="33" fillId="8" borderId="0" xfId="0" applyNumberFormat="1" applyFont="1" applyFill="1" applyAlignment="1">
      <alignment horizontal="center" vertical="center"/>
    </xf>
    <xf numFmtId="49" fontId="83" fillId="0" borderId="0" xfId="0" applyNumberFormat="1" applyFont="1" applyAlignment="1">
      <alignment horizontal="center" vertical="center" wrapText="1"/>
    </xf>
    <xf numFmtId="170" fontId="84" fillId="0" borderId="0" xfId="0" applyNumberFormat="1" applyFont="1" applyAlignment="1">
      <alignment vertical="center" wrapText="1"/>
    </xf>
    <xf numFmtId="49" fontId="85" fillId="0" borderId="0" xfId="0" applyNumberFormat="1" applyFont="1" applyAlignment="1">
      <alignment horizontal="center" vertical="center" wrapText="1"/>
    </xf>
    <xf numFmtId="49" fontId="35" fillId="0" borderId="0" xfId="0" applyNumberFormat="1" applyFont="1" applyAlignment="1">
      <alignment horizontal="center" vertical="center"/>
    </xf>
    <xf numFmtId="170" fontId="31" fillId="0" borderId="0" xfId="0" applyNumberFormat="1" applyFont="1" applyAlignment="1">
      <alignment horizontal="center" vertical="center"/>
    </xf>
    <xf numFmtId="170" fontId="30" fillId="0" borderId="0" xfId="0" applyNumberFormat="1" applyFont="1" applyAlignment="1">
      <alignment horizontal="center" vertical="center"/>
    </xf>
    <xf numFmtId="1" fontId="33" fillId="14" borderId="0" xfId="0" applyNumberFormat="1" applyFont="1" applyFill="1" applyAlignment="1">
      <alignment vertical="center"/>
    </xf>
    <xf numFmtId="1" fontId="33" fillId="0" borderId="0" xfId="0" applyNumberFormat="1" applyFont="1" applyAlignment="1">
      <alignment vertical="center"/>
    </xf>
    <xf numFmtId="1" fontId="33" fillId="15" borderId="0" xfId="0" applyNumberFormat="1" applyFont="1" applyFill="1" applyAlignment="1">
      <alignment vertical="center"/>
    </xf>
    <xf numFmtId="170" fontId="48" fillId="0" borderId="0" xfId="0" applyNumberFormat="1" applyFont="1" applyAlignment="1">
      <alignment horizontal="center" vertical="center" wrapText="1"/>
    </xf>
    <xf numFmtId="170" fontId="75" fillId="0" borderId="0" xfId="0" applyNumberFormat="1" applyFont="1" applyAlignment="1">
      <alignment horizontal="center" vertical="center"/>
    </xf>
    <xf numFmtId="170" fontId="74" fillId="0" borderId="16" xfId="0" applyNumberFormat="1" applyFont="1" applyBorder="1" applyAlignment="1">
      <alignment vertical="center"/>
    </xf>
    <xf numFmtId="170" fontId="49" fillId="0" borderId="16" xfId="0" applyNumberFormat="1" applyFont="1" applyBorder="1" applyAlignment="1">
      <alignment vertical="center" wrapText="1"/>
    </xf>
    <xf numFmtId="170" fontId="71" fillId="0" borderId="16" xfId="0" applyNumberFormat="1" applyFont="1" applyBorder="1" applyAlignment="1">
      <alignment horizontal="right"/>
    </xf>
    <xf numFmtId="170" fontId="71" fillId="0" borderId="0" xfId="0" applyNumberFormat="1" applyFont="1" applyAlignment="1">
      <alignment horizontal="right" vertical="center" wrapText="1"/>
    </xf>
    <xf numFmtId="170" fontId="71" fillId="0" borderId="0" xfId="0" applyNumberFormat="1" applyFont="1" applyAlignment="1">
      <alignment horizontal="right" vertical="center"/>
    </xf>
    <xf numFmtId="170" fontId="29" fillId="0" borderId="14" xfId="0" applyNumberFormat="1" applyFont="1" applyBorder="1" applyAlignment="1">
      <alignment horizontal="left" vertical="center" indent="1"/>
    </xf>
    <xf numFmtId="170" fontId="49" fillId="0" borderId="14" xfId="0" applyNumberFormat="1" applyFont="1" applyBorder="1" applyAlignment="1">
      <alignment vertical="center" wrapText="1"/>
    </xf>
    <xf numFmtId="170" fontId="53" fillId="14" borderId="14" xfId="0" applyNumberFormat="1" applyFont="1" applyFill="1" applyBorder="1" applyAlignment="1">
      <alignment vertical="center"/>
    </xf>
    <xf numFmtId="170" fontId="53" fillId="14" borderId="27" xfId="0" applyNumberFormat="1" applyFont="1" applyFill="1" applyBorder="1" applyAlignment="1">
      <alignment vertical="center"/>
    </xf>
    <xf numFmtId="170" fontId="53" fillId="0" borderId="27" xfId="0" applyNumberFormat="1" applyFont="1" applyBorder="1" applyAlignment="1">
      <alignment horizontal="right" vertical="center"/>
    </xf>
    <xf numFmtId="170" fontId="19" fillId="15" borderId="27" xfId="0" applyNumberFormat="1" applyFont="1" applyFill="1" applyBorder="1" applyAlignment="1">
      <alignment vertical="center"/>
    </xf>
    <xf numFmtId="170" fontId="53" fillId="0" borderId="0" xfId="0" applyNumberFormat="1" applyFont="1" applyAlignment="1">
      <alignment horizontal="right" vertical="center" wrapText="1"/>
    </xf>
    <xf numFmtId="170" fontId="76" fillId="0" borderId="0" xfId="0" applyNumberFormat="1" applyFont="1" applyAlignment="1">
      <alignment horizontal="right" vertical="center" wrapText="1"/>
    </xf>
    <xf numFmtId="170" fontId="76" fillId="0" borderId="0" xfId="0" applyNumberFormat="1" applyFont="1" applyAlignment="1">
      <alignment horizontal="right" vertical="center"/>
    </xf>
    <xf numFmtId="170" fontId="29" fillId="0" borderId="0" xfId="0" applyNumberFormat="1" applyFont="1" applyAlignment="1">
      <alignment horizontal="left" vertical="center"/>
    </xf>
    <xf numFmtId="170" fontId="49" fillId="0" borderId="0" xfId="0" applyNumberFormat="1" applyFont="1" applyAlignment="1">
      <alignment vertical="center" wrapText="1"/>
    </xf>
    <xf numFmtId="170" fontId="53" fillId="14" borderId="0" xfId="0" applyNumberFormat="1" applyFont="1" applyFill="1" applyAlignment="1">
      <alignment horizontal="right" vertical="center"/>
    </xf>
    <xf numFmtId="170" fontId="53" fillId="0" borderId="0" xfId="0" applyNumberFormat="1" applyFont="1" applyAlignment="1">
      <alignment horizontal="right" vertical="center"/>
    </xf>
    <xf numFmtId="170" fontId="19" fillId="15" borderId="0" xfId="0" applyNumberFormat="1" applyFont="1" applyFill="1" applyAlignment="1">
      <alignment vertical="center"/>
    </xf>
    <xf numFmtId="170" fontId="29" fillId="0" borderId="0" xfId="0" applyNumberFormat="1" applyFont="1" applyAlignment="1">
      <alignment vertical="center"/>
    </xf>
    <xf numFmtId="170" fontId="19" fillId="14" borderId="0" xfId="0" applyNumberFormat="1" applyFont="1" applyFill="1" applyAlignment="1">
      <alignment vertical="center"/>
    </xf>
    <xf numFmtId="170" fontId="81" fillId="0" borderId="0" xfId="0" applyNumberFormat="1" applyFont="1" applyAlignment="1">
      <alignment horizontal="right" vertical="center"/>
    </xf>
    <xf numFmtId="170" fontId="81" fillId="0" borderId="0" xfId="0" applyNumberFormat="1" applyFont="1" applyAlignment="1">
      <alignment horizontal="right" vertical="center" wrapText="1"/>
    </xf>
    <xf numFmtId="170" fontId="29" fillId="0" borderId="0" xfId="0" applyNumberFormat="1" applyFont="1" applyAlignment="1">
      <alignment horizontal="left" vertical="center" indent="3"/>
    </xf>
    <xf numFmtId="170" fontId="49" fillId="0" borderId="0" xfId="0" applyNumberFormat="1" applyFont="1" applyAlignment="1">
      <alignment vertical="center"/>
    </xf>
    <xf numFmtId="169" fontId="86" fillId="0" borderId="0" xfId="0" applyNumberFormat="1" applyFont="1" applyAlignment="1">
      <alignment horizontal="right"/>
    </xf>
    <xf numFmtId="169" fontId="86" fillId="0" borderId="0" xfId="0" applyNumberFormat="1" applyFont="1" applyAlignment="1">
      <alignment horizontal="right" vertical="center" wrapText="1"/>
    </xf>
    <xf numFmtId="169" fontId="86" fillId="0" borderId="0" xfId="0" applyNumberFormat="1" applyFont="1" applyAlignment="1">
      <alignment horizontal="right" vertical="center"/>
    </xf>
    <xf numFmtId="170" fontId="29" fillId="0" borderId="0" xfId="0" applyNumberFormat="1" applyFont="1" applyAlignment="1">
      <alignment horizontal="center" vertical="center"/>
    </xf>
    <xf numFmtId="170" fontId="19" fillId="0" borderId="0" xfId="0" applyNumberFormat="1" applyFont="1" applyAlignment="1">
      <alignment vertical="center"/>
    </xf>
    <xf numFmtId="170" fontId="87" fillId="0" borderId="0" xfId="0" applyNumberFormat="1" applyFont="1" applyAlignment="1">
      <alignment horizontal="right" vertical="center"/>
    </xf>
    <xf numFmtId="170" fontId="31" fillId="5" borderId="16" xfId="0" applyNumberFormat="1" applyFont="1" applyFill="1" applyBorder="1" applyAlignment="1">
      <alignment vertical="center"/>
    </xf>
    <xf numFmtId="170" fontId="31" fillId="5" borderId="0" xfId="0" applyNumberFormat="1" applyFont="1" applyFill="1" applyAlignment="1">
      <alignment vertical="center"/>
    </xf>
    <xf numFmtId="170" fontId="30" fillId="5" borderId="0" xfId="0" applyNumberFormat="1" applyFont="1" applyFill="1" applyAlignment="1">
      <alignment vertical="center"/>
    </xf>
    <xf numFmtId="170" fontId="49" fillId="5" borderId="0" xfId="0" applyNumberFormat="1" applyFont="1" applyFill="1" applyAlignment="1">
      <alignment vertical="center" wrapText="1"/>
    </xf>
    <xf numFmtId="170" fontId="30" fillId="15" borderId="0" xfId="0" applyNumberFormat="1" applyFont="1" applyFill="1" applyAlignment="1">
      <alignment vertical="center"/>
    </xf>
    <xf numFmtId="170" fontId="29" fillId="0" borderId="0" xfId="0" applyNumberFormat="1" applyFont="1" applyAlignment="1">
      <alignment horizontal="left" vertical="center" indent="1"/>
    </xf>
    <xf numFmtId="170" fontId="30" fillId="0" borderId="16" xfId="0" applyNumberFormat="1" applyFont="1" applyBorder="1" applyAlignment="1">
      <alignment vertical="center"/>
    </xf>
    <xf numFmtId="170" fontId="49" fillId="0" borderId="0" xfId="0" applyNumberFormat="1" applyFont="1" applyAlignment="1">
      <alignment horizontal="left" vertical="center" indent="1"/>
    </xf>
    <xf numFmtId="170" fontId="31" fillId="0" borderId="16" xfId="0" applyNumberFormat="1" applyFont="1" applyBorder="1" applyAlignment="1">
      <alignment vertical="center"/>
    </xf>
    <xf numFmtId="170" fontId="19" fillId="14" borderId="16" xfId="0" applyNumberFormat="1" applyFont="1" applyFill="1" applyBorder="1" applyAlignment="1">
      <alignment vertical="center"/>
    </xf>
    <xf numFmtId="170" fontId="19" fillId="0" borderId="16" xfId="0" applyNumberFormat="1" applyFont="1" applyBorder="1" applyAlignment="1">
      <alignment vertical="center"/>
    </xf>
    <xf numFmtId="170" fontId="30" fillId="15" borderId="16" xfId="0" applyNumberFormat="1" applyFont="1" applyFill="1" applyBorder="1" applyAlignment="1">
      <alignment vertical="center"/>
    </xf>
    <xf numFmtId="170" fontId="48" fillId="0" borderId="0" xfId="0" applyNumberFormat="1" applyFont="1" applyAlignment="1">
      <alignment horizontal="left" vertical="center" indent="1"/>
    </xf>
    <xf numFmtId="170" fontId="31" fillId="0" borderId="15" xfId="0" applyNumberFormat="1" applyFont="1" applyBorder="1" applyAlignment="1">
      <alignment vertical="center"/>
    </xf>
    <xf numFmtId="170" fontId="30" fillId="0" borderId="15" xfId="0" applyNumberFormat="1" applyFont="1" applyBorder="1" applyAlignment="1">
      <alignment vertical="center"/>
    </xf>
    <xf numFmtId="170" fontId="14" fillId="14" borderId="15" xfId="0" applyNumberFormat="1" applyFont="1" applyFill="1" applyBorder="1" applyAlignment="1">
      <alignment vertical="center"/>
    </xf>
    <xf numFmtId="170" fontId="71" fillId="0" borderId="15" xfId="0" applyNumberFormat="1" applyFont="1" applyBorder="1" applyAlignment="1">
      <alignment horizontal="right" vertical="center"/>
    </xf>
    <xf numFmtId="170" fontId="31" fillId="15" borderId="15" xfId="0" applyNumberFormat="1" applyFont="1" applyFill="1" applyBorder="1" applyAlignment="1">
      <alignment vertical="center"/>
    </xf>
    <xf numFmtId="170" fontId="48" fillId="0" borderId="0" xfId="0" applyNumberFormat="1" applyFont="1" applyAlignment="1">
      <alignment vertical="center" wrapText="1"/>
    </xf>
    <xf numFmtId="170" fontId="49" fillId="5" borderId="0" xfId="0" applyNumberFormat="1" applyFont="1" applyFill="1" applyAlignment="1">
      <alignment horizontal="left" vertical="center" wrapText="1"/>
    </xf>
    <xf numFmtId="170" fontId="49" fillId="5" borderId="0" xfId="0" applyNumberFormat="1" applyFont="1" applyFill="1" applyAlignment="1">
      <alignment horizontal="right" vertical="center" wrapText="1"/>
    </xf>
    <xf numFmtId="1" fontId="33" fillId="13" borderId="0" xfId="0" applyNumberFormat="1" applyFont="1" applyFill="1" applyAlignment="1">
      <alignment vertical="center"/>
    </xf>
    <xf numFmtId="1" fontId="33" fillId="8" borderId="0" xfId="0" applyNumberFormat="1" applyFont="1" applyFill="1" applyAlignment="1">
      <alignment vertical="center"/>
    </xf>
    <xf numFmtId="170" fontId="30" fillId="14" borderId="16" xfId="0" applyNumberFormat="1" applyFont="1" applyFill="1" applyBorder="1" applyAlignment="1">
      <alignment vertical="center"/>
    </xf>
    <xf numFmtId="170" fontId="14" fillId="14" borderId="16" xfId="0" applyNumberFormat="1" applyFont="1" applyFill="1" applyBorder="1" applyAlignment="1">
      <alignment vertical="center"/>
    </xf>
    <xf numFmtId="170" fontId="14" fillId="0" borderId="16" xfId="0" applyNumberFormat="1" applyFont="1" applyBorder="1" applyAlignment="1">
      <alignment vertical="center"/>
    </xf>
    <xf numFmtId="170" fontId="49" fillId="0" borderId="0" xfId="0" applyNumberFormat="1" applyFont="1" applyAlignment="1">
      <alignment horizontal="left" vertical="center" wrapText="1"/>
    </xf>
    <xf numFmtId="170" fontId="49" fillId="0" borderId="14" xfId="0" applyNumberFormat="1" applyFont="1" applyBorder="1" applyAlignment="1">
      <alignment horizontal="left" vertical="center" indent="1"/>
    </xf>
    <xf numFmtId="170" fontId="19" fillId="14" borderId="14" xfId="0" applyNumberFormat="1" applyFont="1" applyFill="1" applyBorder="1" applyAlignment="1">
      <alignment vertical="center"/>
    </xf>
    <xf numFmtId="170" fontId="81" fillId="0" borderId="14" xfId="0" applyNumberFormat="1" applyFont="1" applyBorder="1" applyAlignment="1">
      <alignment horizontal="right" vertical="center"/>
    </xf>
    <xf numFmtId="170" fontId="30" fillId="15" borderId="14" xfId="0" applyNumberFormat="1" applyFont="1" applyFill="1" applyBorder="1" applyAlignment="1">
      <alignment vertical="center"/>
    </xf>
    <xf numFmtId="170" fontId="49" fillId="0" borderId="0" xfId="0" applyNumberFormat="1" applyFont="1" applyAlignment="1">
      <alignment horizontal="left" vertical="center" indent="3"/>
    </xf>
    <xf numFmtId="170" fontId="48" fillId="0" borderId="28" xfId="0" applyNumberFormat="1" applyFont="1" applyBorder="1" applyAlignment="1">
      <alignment horizontal="left" vertical="center" indent="1"/>
    </xf>
    <xf numFmtId="170" fontId="49" fillId="0" borderId="28" xfId="0" applyNumberFormat="1" applyFont="1" applyBorder="1" applyAlignment="1">
      <alignment vertical="center" wrapText="1"/>
    </xf>
    <xf numFmtId="170" fontId="14" fillId="14" borderId="28" xfId="0" applyNumberFormat="1" applyFont="1" applyFill="1" applyBorder="1" applyAlignment="1">
      <alignment vertical="center"/>
    </xf>
    <xf numFmtId="170" fontId="71" fillId="0" borderId="28" xfId="0" applyNumberFormat="1" applyFont="1" applyBorder="1" applyAlignment="1">
      <alignment horizontal="right" vertical="center"/>
    </xf>
    <xf numFmtId="170" fontId="30" fillId="15" borderId="28" xfId="0" applyNumberFormat="1" applyFont="1" applyFill="1" applyBorder="1" applyAlignment="1">
      <alignment vertical="center"/>
    </xf>
    <xf numFmtId="170" fontId="14" fillId="14" borderId="0" xfId="0" applyNumberFormat="1" applyFont="1" applyFill="1" applyAlignment="1">
      <alignment vertical="center"/>
    </xf>
    <xf numFmtId="170" fontId="14" fillId="0" borderId="0" xfId="0" applyNumberFormat="1" applyFont="1" applyAlignment="1">
      <alignment vertical="center"/>
    </xf>
    <xf numFmtId="170" fontId="53" fillId="14" borderId="16" xfId="0" applyNumberFormat="1" applyFont="1" applyFill="1" applyBorder="1" applyAlignment="1">
      <alignment vertical="center"/>
    </xf>
    <xf numFmtId="170" fontId="53" fillId="0" borderId="16" xfId="0" applyNumberFormat="1" applyFont="1" applyBorder="1" applyAlignment="1">
      <alignment vertical="center"/>
    </xf>
    <xf numFmtId="170" fontId="30" fillId="0" borderId="28" xfId="0" applyNumberFormat="1" applyFont="1" applyBorder="1" applyAlignment="1">
      <alignment vertical="center"/>
    </xf>
    <xf numFmtId="170" fontId="48" fillId="0" borderId="1" xfId="0" applyNumberFormat="1" applyFont="1" applyBorder="1" applyAlignment="1">
      <alignment horizontal="left" vertical="center" indent="1"/>
    </xf>
    <xf numFmtId="170" fontId="30" fillId="0" borderId="1" xfId="0" applyNumberFormat="1" applyFont="1" applyBorder="1" applyAlignment="1">
      <alignment vertical="center"/>
    </xf>
    <xf numFmtId="170" fontId="14" fillId="14" borderId="1" xfId="0" applyNumberFormat="1" applyFont="1" applyFill="1" applyBorder="1" applyAlignment="1">
      <alignment vertical="center"/>
    </xf>
    <xf numFmtId="170" fontId="71" fillId="0" borderId="1" xfId="0" applyNumberFormat="1" applyFont="1" applyBorder="1" applyAlignment="1">
      <alignment horizontal="right" vertical="center"/>
    </xf>
    <xf numFmtId="170" fontId="30" fillId="15" borderId="1" xfId="0" applyNumberFormat="1" applyFont="1" applyFill="1" applyBorder="1" applyAlignment="1">
      <alignment vertical="center"/>
    </xf>
    <xf numFmtId="170" fontId="30" fillId="15" borderId="15" xfId="0" applyNumberFormat="1" applyFont="1" applyFill="1" applyBorder="1" applyAlignment="1">
      <alignment vertical="center"/>
    </xf>
    <xf numFmtId="0" fontId="43" fillId="0" borderId="0" xfId="0" applyFont="1"/>
    <xf numFmtId="0" fontId="88" fillId="0" borderId="0" xfId="0" applyFont="1" applyAlignment="1">
      <alignment horizontal="left"/>
    </xf>
    <xf numFmtId="0" fontId="89" fillId="0" borderId="17" xfId="0" applyFont="1" applyBorder="1"/>
    <xf numFmtId="0" fontId="0" fillId="0" borderId="18" xfId="0" applyBorder="1"/>
    <xf numFmtId="169" fontId="90" fillId="16" borderId="19" xfId="0" applyNumberFormat="1" applyFont="1" applyFill="1" applyBorder="1"/>
    <xf numFmtId="0" fontId="0" fillId="5" borderId="17" xfId="0" applyFill="1" applyBorder="1"/>
    <xf numFmtId="169" fontId="19" fillId="5" borderId="19" xfId="0" applyNumberFormat="1" applyFont="1" applyFill="1" applyBorder="1" applyAlignment="1">
      <alignment horizontal="center"/>
    </xf>
    <xf numFmtId="0" fontId="0" fillId="0" borderId="20" xfId="0" applyBorder="1"/>
    <xf numFmtId="4" fontId="0" fillId="0" borderId="21" xfId="0" applyNumberFormat="1" applyBorder="1"/>
    <xf numFmtId="0" fontId="89" fillId="0" borderId="30" xfId="0" applyFont="1" applyBorder="1"/>
    <xf numFmtId="9" fontId="89" fillId="0" borderId="32" xfId="0" applyNumberFormat="1" applyFont="1" applyBorder="1" applyAlignment="1">
      <alignment horizontal="center"/>
    </xf>
    <xf numFmtId="169" fontId="88" fillId="0" borderId="0" xfId="0" applyNumberFormat="1" applyFont="1" applyAlignment="1">
      <alignment horizontal="left"/>
    </xf>
    <xf numFmtId="0" fontId="89" fillId="0" borderId="20" xfId="0" applyFont="1" applyBorder="1"/>
    <xf numFmtId="169" fontId="90" fillId="16" borderId="21" xfId="0" applyNumberFormat="1" applyFont="1" applyFill="1" applyBorder="1"/>
    <xf numFmtId="0" fontId="14" fillId="0" borderId="33" xfId="0" applyFont="1" applyBorder="1"/>
    <xf numFmtId="0" fontId="0" fillId="0" borderId="22" xfId="0" applyBorder="1" applyAlignment="1">
      <alignment horizontal="center"/>
    </xf>
    <xf numFmtId="169" fontId="14" fillId="0" borderId="23" xfId="0" applyNumberFormat="1" applyFont="1" applyBorder="1" applyAlignment="1">
      <alignment horizontal="center"/>
    </xf>
    <xf numFmtId="10" fontId="91" fillId="0" borderId="0" xfId="0" applyNumberFormat="1" applyFont="1"/>
    <xf numFmtId="0" fontId="89" fillId="0" borderId="34" xfId="0" applyFont="1" applyBorder="1"/>
    <xf numFmtId="171" fontId="0" fillId="0" borderId="0" xfId="0" applyNumberFormat="1"/>
    <xf numFmtId="4" fontId="33" fillId="0" borderId="0" xfId="0" applyNumberFormat="1" applyFont="1" applyAlignment="1">
      <alignment horizontal="center"/>
    </xf>
    <xf numFmtId="10" fontId="33" fillId="0" borderId="0" xfId="0" applyNumberFormat="1" applyFont="1" applyAlignment="1">
      <alignment horizontal="center" vertical="center"/>
    </xf>
    <xf numFmtId="3" fontId="33" fillId="0" borderId="0" xfId="0" applyNumberFormat="1" applyFont="1" applyAlignment="1">
      <alignment horizontal="center"/>
    </xf>
    <xf numFmtId="10" fontId="33" fillId="0" borderId="0" xfId="0" applyNumberFormat="1" applyFont="1" applyAlignment="1">
      <alignment horizontal="center"/>
    </xf>
    <xf numFmtId="4" fontId="92" fillId="0" borderId="0" xfId="0" applyNumberFormat="1" applyFont="1"/>
    <xf numFmtId="9" fontId="92" fillId="0" borderId="0" xfId="0" applyNumberFormat="1" applyFont="1"/>
    <xf numFmtId="2" fontId="92" fillId="0" borderId="0" xfId="0" applyNumberFormat="1" applyFont="1" applyAlignment="1">
      <alignment horizontal="center" vertical="center"/>
    </xf>
    <xf numFmtId="172" fontId="92" fillId="0" borderId="0" xfId="0" applyNumberFormat="1" applyFont="1" applyAlignment="1">
      <alignment horizontal="center"/>
    </xf>
    <xf numFmtId="2" fontId="92" fillId="0" borderId="0" xfId="0" applyNumberFormat="1" applyFont="1"/>
    <xf numFmtId="169" fontId="93" fillId="0" borderId="0" xfId="0" applyNumberFormat="1" applyFont="1"/>
    <xf numFmtId="2" fontId="92" fillId="0" borderId="0" xfId="0" applyNumberFormat="1" applyFont="1" applyAlignment="1">
      <alignment horizontal="center"/>
    </xf>
    <xf numFmtId="9" fontId="93" fillId="0" borderId="0" xfId="0" applyNumberFormat="1" applyFont="1"/>
    <xf numFmtId="3" fontId="92" fillId="0" borderId="0" xfId="0" applyNumberFormat="1" applyFont="1"/>
    <xf numFmtId="3" fontId="30" fillId="0" borderId="0" xfId="0" applyNumberFormat="1" applyFont="1"/>
    <xf numFmtId="3" fontId="94" fillId="0" borderId="0" xfId="0" applyNumberFormat="1" applyFont="1"/>
    <xf numFmtId="4" fontId="30" fillId="0" borderId="0" xfId="0" applyNumberFormat="1" applyFont="1"/>
    <xf numFmtId="0" fontId="30" fillId="0" borderId="0" xfId="0" applyFont="1" applyAlignment="1">
      <alignment horizontal="center"/>
    </xf>
    <xf numFmtId="0" fontId="30" fillId="0" borderId="4" xfId="0" applyFont="1" applyBorder="1"/>
    <xf numFmtId="166" fontId="30" fillId="0" borderId="14" xfId="0" applyNumberFormat="1" applyFont="1" applyBorder="1"/>
    <xf numFmtId="166" fontId="95" fillId="0" borderId="5" xfId="0" applyNumberFormat="1" applyFont="1" applyBorder="1"/>
    <xf numFmtId="166" fontId="30" fillId="0" borderId="0" xfId="0" applyNumberFormat="1" applyFont="1"/>
    <xf numFmtId="0" fontId="42" fillId="13" borderId="36" xfId="0" applyFont="1" applyFill="1" applyBorder="1" applyAlignment="1">
      <alignment horizontal="center"/>
    </xf>
    <xf numFmtId="0" fontId="42" fillId="8" borderId="0" xfId="0" applyFont="1" applyFill="1" applyAlignment="1">
      <alignment horizontal="left" vertical="center"/>
    </xf>
    <xf numFmtId="173" fontId="42" fillId="13" borderId="0" xfId="0" applyNumberFormat="1" applyFont="1" applyFill="1" applyAlignment="1">
      <alignment horizontal="center" vertical="center"/>
    </xf>
    <xf numFmtId="173" fontId="42" fillId="0" borderId="0" xfId="0" applyNumberFormat="1" applyFont="1" applyAlignment="1">
      <alignment horizontal="center" vertical="center"/>
    </xf>
    <xf numFmtId="0" fontId="43" fillId="0" borderId="17" xfId="0" applyFont="1" applyBorder="1"/>
    <xf numFmtId="0" fontId="30" fillId="0" borderId="18" xfId="0" applyFont="1" applyBorder="1"/>
    <xf numFmtId="174" fontId="95" fillId="17" borderId="19" xfId="0" applyNumberFormat="1" applyFont="1" applyFill="1" applyBorder="1" applyAlignment="1">
      <alignment horizontal="center"/>
    </xf>
    <xf numFmtId="175" fontId="30" fillId="0" borderId="0" xfId="0" applyNumberFormat="1" applyFont="1"/>
    <xf numFmtId="0" fontId="14" fillId="0" borderId="0" xfId="0" applyFont="1"/>
    <xf numFmtId="170" fontId="30" fillId="14" borderId="0" xfId="0" applyNumberFormat="1" applyFont="1" applyFill="1" applyAlignment="1">
      <alignment horizontal="center"/>
    </xf>
    <xf numFmtId="170" fontId="30" fillId="0" borderId="0" xfId="0" applyNumberFormat="1" applyFont="1" applyAlignment="1">
      <alignment horizontal="center"/>
    </xf>
    <xf numFmtId="0" fontId="43" fillId="0" borderId="20" xfId="0" applyFont="1" applyBorder="1"/>
    <xf numFmtId="3" fontId="30" fillId="0" borderId="21" xfId="0" applyNumberFormat="1" applyFont="1" applyBorder="1" applyAlignment="1">
      <alignment horizontal="center"/>
    </xf>
    <xf numFmtId="0" fontId="89" fillId="0" borderId="0" xfId="0" applyFont="1" applyAlignment="1">
      <alignment horizontal="left" indent="2"/>
    </xf>
    <xf numFmtId="176" fontId="89" fillId="14" borderId="0" xfId="0" applyNumberFormat="1" applyFont="1" applyFill="1" applyAlignment="1">
      <alignment horizontal="center"/>
    </xf>
    <xf numFmtId="176" fontId="89" fillId="0" borderId="0" xfId="0" applyNumberFormat="1" applyFont="1" applyAlignment="1">
      <alignment horizontal="center"/>
    </xf>
    <xf numFmtId="0" fontId="43" fillId="0" borderId="33" xfId="0" applyFont="1" applyBorder="1"/>
    <xf numFmtId="0" fontId="30" fillId="0" borderId="22" xfId="0" applyFont="1" applyBorder="1"/>
    <xf numFmtId="170" fontId="30" fillId="0" borderId="23" xfId="0" applyNumberFormat="1" applyFont="1" applyBorder="1" applyAlignment="1">
      <alignment horizontal="center"/>
    </xf>
    <xf numFmtId="0" fontId="30" fillId="14" borderId="0" xfId="0" applyFont="1" applyFill="1" applyAlignment="1">
      <alignment horizontal="center"/>
    </xf>
    <xf numFmtId="0" fontId="42" fillId="13" borderId="37" xfId="0" applyFont="1" applyFill="1" applyBorder="1" applyAlignment="1">
      <alignment horizontal="center"/>
    </xf>
    <xf numFmtId="0" fontId="89" fillId="0" borderId="14" xfId="0" applyFont="1" applyBorder="1" applyAlignment="1">
      <alignment horizontal="left" indent="2"/>
    </xf>
    <xf numFmtId="170" fontId="30" fillId="14" borderId="14" xfId="0" applyNumberFormat="1" applyFont="1" applyFill="1" applyBorder="1" applyAlignment="1">
      <alignment horizontal="center"/>
    </xf>
    <xf numFmtId="177" fontId="19" fillId="18" borderId="38" xfId="0" applyNumberFormat="1" applyFont="1" applyFill="1" applyBorder="1" applyAlignment="1">
      <alignment horizontal="center"/>
    </xf>
    <xf numFmtId="168" fontId="30" fillId="0" borderId="0" xfId="0" applyNumberFormat="1" applyFont="1" applyAlignment="1">
      <alignment horizontal="left"/>
    </xf>
    <xf numFmtId="0" fontId="62" fillId="0" borderId="20" xfId="0" applyFont="1" applyBorder="1"/>
    <xf numFmtId="176" fontId="43" fillId="0" borderId="21" xfId="0" applyNumberFormat="1" applyFont="1" applyBorder="1" applyAlignment="1">
      <alignment horizontal="center"/>
    </xf>
    <xf numFmtId="9" fontId="30" fillId="0" borderId="0" xfId="0" applyNumberFormat="1" applyFont="1" applyAlignment="1">
      <alignment horizontal="left"/>
    </xf>
    <xf numFmtId="0" fontId="30" fillId="0" borderId="0" xfId="0" applyFont="1" applyAlignment="1">
      <alignment horizontal="left" indent="2"/>
    </xf>
    <xf numFmtId="0" fontId="96" fillId="0" borderId="20" xfId="0" applyFont="1" applyBorder="1"/>
    <xf numFmtId="170" fontId="14" fillId="0" borderId="21" xfId="0" applyNumberFormat="1" applyFont="1" applyBorder="1" applyAlignment="1">
      <alignment horizontal="center"/>
    </xf>
    <xf numFmtId="0" fontId="30" fillId="0" borderId="20" xfId="0" applyFont="1" applyBorder="1" applyAlignment="1">
      <alignment horizontal="left" indent="1"/>
    </xf>
    <xf numFmtId="170" fontId="30" fillId="0" borderId="21" xfId="0" applyNumberFormat="1" applyFont="1" applyBorder="1" applyAlignment="1">
      <alignment horizontal="center"/>
    </xf>
    <xf numFmtId="0" fontId="30" fillId="0" borderId="14" xfId="0" applyFont="1" applyBorder="1" applyAlignment="1">
      <alignment horizontal="left" indent="2"/>
    </xf>
    <xf numFmtId="0" fontId="14" fillId="19" borderId="39" xfId="0" applyFont="1" applyFill="1" applyBorder="1" applyAlignment="1">
      <alignment horizontal="center"/>
    </xf>
    <xf numFmtId="0" fontId="14" fillId="0" borderId="0" xfId="0" applyFont="1" applyAlignment="1">
      <alignment horizontal="center"/>
    </xf>
    <xf numFmtId="0" fontId="96" fillId="0" borderId="33" xfId="0" applyFont="1" applyBorder="1"/>
    <xf numFmtId="170" fontId="14" fillId="0" borderId="23" xfId="0" applyNumberFormat="1" applyFont="1" applyBorder="1" applyAlignment="1">
      <alignment horizontal="center"/>
    </xf>
    <xf numFmtId="170" fontId="14" fillId="14" borderId="40" xfId="0" applyNumberFormat="1" applyFont="1" applyFill="1" applyBorder="1" applyAlignment="1">
      <alignment horizontal="center"/>
    </xf>
    <xf numFmtId="170" fontId="14" fillId="0" borderId="0" xfId="0" applyNumberFormat="1" applyFont="1" applyAlignment="1">
      <alignment horizontal="center"/>
    </xf>
    <xf numFmtId="0" fontId="89" fillId="0" borderId="0" xfId="0" applyFont="1" applyAlignment="1">
      <alignment horizontal="left"/>
    </xf>
    <xf numFmtId="166" fontId="89" fillId="14" borderId="0" xfId="0" applyNumberFormat="1" applyFont="1" applyFill="1" applyAlignment="1">
      <alignment horizontal="center"/>
    </xf>
    <xf numFmtId="0" fontId="30" fillId="14" borderId="40" xfId="0" applyFont="1" applyFill="1" applyBorder="1" applyAlignment="1">
      <alignment horizontal="center"/>
    </xf>
    <xf numFmtId="2" fontId="89" fillId="14" borderId="0" xfId="0" applyNumberFormat="1" applyFont="1" applyFill="1" applyAlignment="1">
      <alignment horizontal="center"/>
    </xf>
    <xf numFmtId="0" fontId="42" fillId="8" borderId="37" xfId="0" applyFont="1" applyFill="1" applyBorder="1" applyAlignment="1">
      <alignment horizontal="center"/>
    </xf>
    <xf numFmtId="4" fontId="89" fillId="14" borderId="0" xfId="0" applyNumberFormat="1" applyFont="1" applyFill="1" applyAlignment="1">
      <alignment horizontal="center"/>
    </xf>
    <xf numFmtId="2" fontId="89" fillId="14" borderId="40" xfId="0" applyNumberFormat="1" applyFont="1" applyFill="1" applyBorder="1" applyAlignment="1">
      <alignment horizontal="center"/>
    </xf>
    <xf numFmtId="2" fontId="89" fillId="0" borderId="0" xfId="0" applyNumberFormat="1" applyFont="1" applyAlignment="1">
      <alignment horizontal="center"/>
    </xf>
    <xf numFmtId="0" fontId="14" fillId="0" borderId="41" xfId="0" applyFont="1" applyBorder="1"/>
    <xf numFmtId="170" fontId="30" fillId="14" borderId="41" xfId="0" applyNumberFormat="1" applyFont="1" applyFill="1" applyBorder="1" applyAlignment="1">
      <alignment horizontal="center"/>
    </xf>
    <xf numFmtId="170" fontId="14" fillId="14" borderId="42" xfId="0" applyNumberFormat="1" applyFont="1" applyFill="1" applyBorder="1" applyAlignment="1">
      <alignment horizontal="center"/>
    </xf>
    <xf numFmtId="179" fontId="30" fillId="0" borderId="0" xfId="0" applyNumberFormat="1" applyFont="1" applyAlignment="1">
      <alignment horizontal="center"/>
    </xf>
    <xf numFmtId="9" fontId="89" fillId="0" borderId="0" xfId="0" applyNumberFormat="1" applyFont="1" applyAlignment="1">
      <alignment horizontal="center"/>
    </xf>
    <xf numFmtId="0" fontId="96" fillId="0" borderId="24" xfId="0" applyFont="1" applyBorder="1"/>
    <xf numFmtId="0" fontId="30" fillId="0" borderId="25" xfId="0" applyFont="1" applyBorder="1"/>
    <xf numFmtId="170" fontId="14" fillId="0" borderId="26" xfId="0" applyNumberFormat="1" applyFont="1" applyBorder="1" applyAlignment="1">
      <alignment horizontal="center"/>
    </xf>
    <xf numFmtId="170" fontId="14" fillId="14" borderId="43" xfId="0" applyNumberFormat="1" applyFont="1" applyFill="1" applyBorder="1" applyAlignment="1">
      <alignment horizontal="center"/>
    </xf>
    <xf numFmtId="0" fontId="42" fillId="13" borderId="29" xfId="0" applyFont="1" applyFill="1" applyBorder="1" applyAlignment="1">
      <alignment horizontal="center"/>
    </xf>
    <xf numFmtId="0" fontId="42" fillId="8" borderId="17" xfId="0" applyFont="1" applyFill="1" applyBorder="1"/>
    <xf numFmtId="0" fontId="30" fillId="8" borderId="18" xfId="0" applyFont="1" applyFill="1" applyBorder="1"/>
    <xf numFmtId="0" fontId="30" fillId="8" borderId="19" xfId="0" applyFont="1" applyFill="1" applyBorder="1"/>
    <xf numFmtId="0" fontId="30" fillId="0" borderId="20" xfId="0" applyFont="1" applyBorder="1"/>
    <xf numFmtId="170" fontId="30" fillId="0" borderId="21" xfId="0" applyNumberFormat="1" applyFont="1" applyBorder="1"/>
    <xf numFmtId="9" fontId="30" fillId="0" borderId="21" xfId="0" applyNumberFormat="1" applyFont="1" applyBorder="1"/>
    <xf numFmtId="0" fontId="30" fillId="14" borderId="16" xfId="0" applyFont="1" applyFill="1" applyBorder="1" applyAlignment="1">
      <alignment horizontal="center"/>
    </xf>
    <xf numFmtId="169" fontId="95" fillId="16" borderId="21" xfId="0" applyNumberFormat="1" applyFont="1" applyFill="1" applyBorder="1"/>
    <xf numFmtId="0" fontId="14" fillId="0" borderId="44" xfId="0" applyFont="1" applyBorder="1"/>
    <xf numFmtId="0" fontId="30" fillId="0" borderId="45" xfId="0" applyFont="1" applyBorder="1"/>
    <xf numFmtId="170" fontId="14" fillId="0" borderId="46" xfId="0" applyNumberFormat="1" applyFont="1" applyBorder="1"/>
    <xf numFmtId="9" fontId="30" fillId="14" borderId="0" xfId="0" applyNumberFormat="1" applyFont="1" applyFill="1" applyAlignment="1">
      <alignment horizontal="center"/>
    </xf>
    <xf numFmtId="9" fontId="30" fillId="0" borderId="0" xfId="0" applyNumberFormat="1" applyFont="1" applyAlignment="1">
      <alignment horizontal="center"/>
    </xf>
    <xf numFmtId="9" fontId="30" fillId="14" borderId="14" xfId="0" applyNumberFormat="1" applyFont="1" applyFill="1" applyBorder="1" applyAlignment="1">
      <alignment horizontal="center"/>
    </xf>
    <xf numFmtId="0" fontId="30" fillId="0" borderId="16" xfId="0" applyFont="1" applyBorder="1"/>
    <xf numFmtId="10" fontId="14" fillId="14" borderId="41" xfId="0" applyNumberFormat="1" applyFont="1" applyFill="1" applyBorder="1" applyAlignment="1">
      <alignment horizontal="center"/>
    </xf>
    <xf numFmtId="10" fontId="14" fillId="0" borderId="0" xfId="0" applyNumberFormat="1" applyFont="1" applyAlignment="1">
      <alignment horizontal="center"/>
    </xf>
    <xf numFmtId="0" fontId="97" fillId="0" borderId="0" xfId="0" applyFont="1" applyAlignment="1">
      <alignment horizontal="left"/>
    </xf>
    <xf numFmtId="9" fontId="14" fillId="0" borderId="29" xfId="0" applyNumberFormat="1" applyFont="1" applyBorder="1" applyAlignment="1">
      <alignment horizontal="center"/>
    </xf>
    <xf numFmtId="169" fontId="97" fillId="0" borderId="0" xfId="0" applyNumberFormat="1" applyFont="1" applyAlignment="1">
      <alignment horizontal="left"/>
    </xf>
    <xf numFmtId="169" fontId="30" fillId="0" borderId="0" xfId="0" applyNumberFormat="1" applyFont="1" applyAlignment="1">
      <alignment horizontal="center"/>
    </xf>
    <xf numFmtId="0" fontId="42" fillId="0" borderId="0" xfId="0" applyFont="1" applyAlignment="1">
      <alignment horizontal="left" vertical="center"/>
    </xf>
    <xf numFmtId="49" fontId="42" fillId="0" borderId="0" xfId="0" applyNumberFormat="1" applyFont="1" applyAlignment="1">
      <alignment horizontal="center" vertical="center"/>
    </xf>
    <xf numFmtId="0" fontId="42" fillId="0" borderId="0" xfId="0" applyFont="1" applyAlignment="1">
      <alignment horizontal="center" vertical="center"/>
    </xf>
    <xf numFmtId="180" fontId="37" fillId="0" borderId="0" xfId="0" applyNumberFormat="1" applyFont="1"/>
    <xf numFmtId="170" fontId="53" fillId="0" borderId="0" xfId="0" applyNumberFormat="1" applyFont="1" applyAlignment="1">
      <alignment horizontal="center"/>
    </xf>
    <xf numFmtId="0" fontId="19" fillId="0" borderId="0" xfId="0" applyFont="1"/>
    <xf numFmtId="0" fontId="32" fillId="8" borderId="0" xfId="0" applyFont="1" applyFill="1"/>
    <xf numFmtId="0" fontId="32" fillId="8" borderId="0" xfId="0" applyFont="1" applyFill="1" applyAlignment="1">
      <alignment horizontal="center"/>
    </xf>
    <xf numFmtId="0" fontId="99" fillId="13" borderId="0" xfId="0" applyFont="1" applyFill="1" applyAlignment="1">
      <alignment horizontal="left"/>
    </xf>
    <xf numFmtId="0" fontId="32" fillId="13" borderId="0" xfId="0" applyFont="1" applyFill="1" applyAlignment="1">
      <alignment horizontal="center"/>
    </xf>
    <xf numFmtId="0" fontId="32" fillId="13" borderId="0" xfId="0" applyFont="1" applyFill="1"/>
    <xf numFmtId="180" fontId="30" fillId="0" borderId="0" xfId="0" applyNumberFormat="1" applyFont="1"/>
    <xf numFmtId="0" fontId="98" fillId="20" borderId="48" xfId="0" applyFont="1" applyFill="1" applyBorder="1" applyAlignment="1">
      <alignment horizontal="center"/>
    </xf>
    <xf numFmtId="0" fontId="98" fillId="20" borderId="48" xfId="0" applyFont="1" applyFill="1" applyBorder="1"/>
    <xf numFmtId="0" fontId="30" fillId="0" borderId="49" xfId="0" applyFont="1" applyBorder="1"/>
    <xf numFmtId="0" fontId="30" fillId="0" borderId="50" xfId="0" applyFont="1" applyBorder="1"/>
    <xf numFmtId="180" fontId="100" fillId="0" borderId="50" xfId="0" applyNumberFormat="1" applyFont="1" applyBorder="1"/>
    <xf numFmtId="180" fontId="30" fillId="0" borderId="50" xfId="0" applyNumberFormat="1" applyFont="1" applyBorder="1"/>
    <xf numFmtId="0" fontId="30" fillId="0" borderId="51" xfId="0" applyFont="1" applyBorder="1"/>
    <xf numFmtId="0" fontId="30" fillId="0" borderId="52" xfId="0" applyFont="1" applyBorder="1"/>
    <xf numFmtId="180" fontId="30" fillId="0" borderId="52" xfId="0" applyNumberFormat="1" applyFont="1" applyBorder="1"/>
    <xf numFmtId="0" fontId="30" fillId="0" borderId="53" xfId="0" applyFont="1" applyBorder="1"/>
    <xf numFmtId="0" fontId="30" fillId="0" borderId="54" xfId="0" applyFont="1" applyBorder="1"/>
    <xf numFmtId="180" fontId="30" fillId="0" borderId="54" xfId="0" applyNumberFormat="1" applyFont="1" applyBorder="1"/>
    <xf numFmtId="0" fontId="32" fillId="8" borderId="0" xfId="0" applyFont="1" applyFill="1" applyAlignment="1">
      <alignment horizontal="left"/>
    </xf>
    <xf numFmtId="0" fontId="48" fillId="5" borderId="0" xfId="0" applyFont="1" applyFill="1"/>
    <xf numFmtId="0" fontId="49" fillId="5" borderId="2" xfId="0" applyFont="1" applyFill="1" applyBorder="1"/>
    <xf numFmtId="0" fontId="49" fillId="5" borderId="28" xfId="0" applyFont="1" applyFill="1" applyBorder="1"/>
    <xf numFmtId="0" fontId="49" fillId="5" borderId="28" xfId="0" applyFont="1" applyFill="1" applyBorder="1" applyAlignment="1">
      <alignment horizontal="center"/>
    </xf>
    <xf numFmtId="0" fontId="48" fillId="5" borderId="57" xfId="0" applyFont="1" applyFill="1" applyBorder="1"/>
    <xf numFmtId="0" fontId="49" fillId="5" borderId="4" xfId="0" applyFont="1" applyFill="1" applyBorder="1"/>
    <xf numFmtId="0" fontId="49" fillId="5" borderId="14" xfId="0" applyFont="1" applyFill="1" applyBorder="1"/>
    <xf numFmtId="0" fontId="49" fillId="5" borderId="14" xfId="0" applyFont="1" applyFill="1" applyBorder="1" applyAlignment="1">
      <alignment horizontal="center"/>
    </xf>
    <xf numFmtId="0" fontId="49" fillId="5" borderId="0" xfId="0" applyFont="1" applyFill="1" applyAlignment="1">
      <alignment horizontal="center"/>
    </xf>
    <xf numFmtId="0" fontId="48" fillId="5" borderId="58" xfId="0" applyFont="1" applyFill="1" applyBorder="1"/>
    <xf numFmtId="0" fontId="49" fillId="5" borderId="0" xfId="0" applyFont="1" applyFill="1"/>
    <xf numFmtId="180" fontId="48" fillId="5" borderId="58" xfId="0" applyNumberFormat="1" applyFont="1" applyFill="1" applyBorder="1" applyAlignment="1">
      <alignment horizontal="center"/>
    </xf>
    <xf numFmtId="180" fontId="48" fillId="5" borderId="0" xfId="0" applyNumberFormat="1" applyFont="1" applyFill="1" applyAlignment="1">
      <alignment horizontal="center"/>
    </xf>
    <xf numFmtId="0" fontId="86" fillId="5" borderId="58" xfId="0" applyFont="1" applyFill="1" applyBorder="1"/>
    <xf numFmtId="170" fontId="86" fillId="5" borderId="58" xfId="0" applyNumberFormat="1" applyFont="1" applyFill="1" applyBorder="1" applyAlignment="1">
      <alignment horizontal="center"/>
    </xf>
    <xf numFmtId="170" fontId="86" fillId="5" borderId="0" xfId="0" applyNumberFormat="1" applyFont="1" applyFill="1" applyAlignment="1">
      <alignment horizontal="center"/>
    </xf>
    <xf numFmtId="0" fontId="49" fillId="5" borderId="58" xfId="0" applyFont="1" applyFill="1" applyBorder="1"/>
    <xf numFmtId="181" fontId="49" fillId="5" borderId="58" xfId="0" applyNumberFormat="1" applyFont="1" applyFill="1" applyBorder="1" applyAlignment="1">
      <alignment horizontal="center"/>
    </xf>
    <xf numFmtId="181" fontId="49" fillId="5" borderId="0" xfId="0" applyNumberFormat="1" applyFont="1" applyFill="1" applyAlignment="1">
      <alignment horizontal="center"/>
    </xf>
    <xf numFmtId="181" fontId="49" fillId="5" borderId="59" xfId="0" applyNumberFormat="1" applyFont="1" applyFill="1" applyBorder="1" applyAlignment="1">
      <alignment horizontal="center"/>
    </xf>
    <xf numFmtId="0" fontId="30" fillId="21" borderId="55" xfId="0" applyFont="1" applyFill="1" applyBorder="1"/>
    <xf numFmtId="182" fontId="86" fillId="5" borderId="58" xfId="0" applyNumberFormat="1" applyFont="1" applyFill="1" applyBorder="1" applyAlignment="1">
      <alignment horizontal="center"/>
    </xf>
    <xf numFmtId="183" fontId="49" fillId="5" borderId="58" xfId="0" applyNumberFormat="1" applyFont="1" applyFill="1" applyBorder="1" applyAlignment="1">
      <alignment horizontal="center"/>
    </xf>
    <xf numFmtId="183" fontId="49" fillId="5" borderId="0" xfId="0" applyNumberFormat="1" applyFont="1" applyFill="1" applyAlignment="1">
      <alignment horizontal="center"/>
    </xf>
    <xf numFmtId="0" fontId="49" fillId="5" borderId="58" xfId="0" applyFont="1" applyFill="1" applyBorder="1" applyAlignment="1">
      <alignment horizontal="center"/>
    </xf>
    <xf numFmtId="0" fontId="31" fillId="0" borderId="53" xfId="0" applyFont="1" applyBorder="1"/>
    <xf numFmtId="0" fontId="49" fillId="5" borderId="59" xfId="0" applyFont="1" applyFill="1" applyBorder="1" applyAlignment="1">
      <alignment horizontal="center"/>
    </xf>
    <xf numFmtId="0" fontId="86" fillId="5" borderId="4" xfId="0" applyFont="1" applyFill="1" applyBorder="1"/>
    <xf numFmtId="170" fontId="86" fillId="5" borderId="14" xfId="0" applyNumberFormat="1" applyFont="1" applyFill="1" applyBorder="1" applyAlignment="1">
      <alignment horizontal="center"/>
    </xf>
    <xf numFmtId="0" fontId="32" fillId="13" borderId="0" xfId="0" applyFont="1" applyFill="1" applyAlignment="1">
      <alignment horizontal="left"/>
    </xf>
    <xf numFmtId="0" fontId="48" fillId="5" borderId="60" xfId="0" applyFont="1" applyFill="1" applyBorder="1"/>
    <xf numFmtId="0" fontId="49" fillId="5" borderId="25" xfId="0" applyFont="1" applyFill="1" applyBorder="1"/>
    <xf numFmtId="0" fontId="49" fillId="5" borderId="25" xfId="0" applyFont="1" applyFill="1" applyBorder="1" applyAlignment="1">
      <alignment horizontal="center"/>
    </xf>
    <xf numFmtId="170" fontId="101" fillId="5" borderId="60" xfId="0" applyNumberFormat="1" applyFont="1" applyFill="1" applyBorder="1" applyAlignment="1">
      <alignment horizontal="center"/>
    </xf>
    <xf numFmtId="170" fontId="101" fillId="5" borderId="25" xfId="0" applyNumberFormat="1" applyFont="1" applyFill="1" applyBorder="1" applyAlignment="1">
      <alignment horizontal="center"/>
    </xf>
    <xf numFmtId="170" fontId="14" fillId="14" borderId="14" xfId="0" applyNumberFormat="1" applyFont="1" applyFill="1" applyBorder="1" applyAlignment="1">
      <alignment horizontal="center" vertical="center"/>
    </xf>
    <xf numFmtId="170" fontId="14" fillId="14" borderId="0" xfId="0" applyNumberFormat="1" applyFont="1" applyFill="1" applyAlignment="1">
      <alignment horizontal="center" vertical="center"/>
    </xf>
    <xf numFmtId="2" fontId="0" fillId="15" borderId="15" xfId="0" applyNumberFormat="1" applyFill="1" applyBorder="1"/>
    <xf numFmtId="0" fontId="49" fillId="14" borderId="14" xfId="0" applyFont="1" applyFill="1" applyBorder="1" applyAlignment="1">
      <alignment vertical="top" wrapText="1"/>
    </xf>
    <xf numFmtId="0" fontId="49" fillId="14" borderId="0" xfId="0" applyFont="1" applyFill="1" applyAlignment="1">
      <alignment vertical="top" wrapText="1"/>
    </xf>
    <xf numFmtId="0" fontId="49" fillId="14" borderId="15" xfId="0" applyFont="1" applyFill="1" applyBorder="1" applyAlignment="1">
      <alignment vertical="top" wrapText="1"/>
    </xf>
    <xf numFmtId="169" fontId="82" fillId="15" borderId="0" xfId="0" applyNumberFormat="1" applyFont="1" applyFill="1"/>
    <xf numFmtId="0" fontId="59" fillId="14" borderId="0" xfId="0" applyFont="1" applyFill="1" applyAlignment="1">
      <alignment vertical="top" wrapText="1"/>
    </xf>
    <xf numFmtId="0" fontId="59" fillId="14" borderId="0" xfId="0" applyFont="1" applyFill="1" applyAlignment="1">
      <alignment vertical="top"/>
    </xf>
    <xf numFmtId="0" fontId="71" fillId="0" borderId="0" xfId="0" applyFont="1" applyAlignment="1">
      <alignment horizontal="left" vertical="center"/>
    </xf>
    <xf numFmtId="0" fontId="35" fillId="13" borderId="0" xfId="0" applyFont="1" applyFill="1" applyAlignment="1">
      <alignment horizontal="center" vertical="center"/>
    </xf>
    <xf numFmtId="0" fontId="48" fillId="14" borderId="0" xfId="0" applyFont="1" applyFill="1" applyAlignment="1">
      <alignment horizontal="center" vertical="center"/>
    </xf>
    <xf numFmtId="0" fontId="74" fillId="0" borderId="0" xfId="0" applyFont="1" applyAlignment="1">
      <alignment horizontal="left" vertical="center"/>
    </xf>
    <xf numFmtId="170" fontId="102" fillId="0" borderId="0" xfId="0" applyNumberFormat="1" applyFont="1" applyAlignment="1">
      <alignment horizontal="right" vertical="center"/>
    </xf>
    <xf numFmtId="170" fontId="29" fillId="0" borderId="0" xfId="0" applyNumberFormat="1" applyFont="1" applyAlignment="1">
      <alignment horizontal="right" vertical="center"/>
    </xf>
    <xf numFmtId="170" fontId="103" fillId="0" borderId="0" xfId="0" applyNumberFormat="1" applyFont="1" applyAlignment="1">
      <alignment horizontal="right" vertical="center"/>
    </xf>
    <xf numFmtId="0" fontId="29" fillId="0" borderId="0" xfId="0" applyFont="1" applyAlignment="1">
      <alignment horizontal="left" vertical="center"/>
    </xf>
    <xf numFmtId="169" fontId="29" fillId="0" borderId="0" xfId="0" applyNumberFormat="1" applyFont="1" applyAlignment="1">
      <alignment horizontal="right" vertical="center"/>
    </xf>
    <xf numFmtId="0" fontId="71" fillId="0" borderId="0" xfId="0" applyFont="1"/>
    <xf numFmtId="0" fontId="35" fillId="13" borderId="0" xfId="0" applyFont="1" applyFill="1" applyAlignment="1">
      <alignment horizontal="center"/>
    </xf>
    <xf numFmtId="0" fontId="48" fillId="14" borderId="0" xfId="0" applyFont="1" applyFill="1" applyAlignment="1">
      <alignment horizontal="center"/>
    </xf>
    <xf numFmtId="0" fontId="29" fillId="0" borderId="0" xfId="0" applyFont="1"/>
    <xf numFmtId="0" fontId="74" fillId="0" borderId="0" xfId="0" applyFont="1"/>
    <xf numFmtId="170" fontId="29" fillId="0" borderId="0" xfId="0" applyNumberFormat="1" applyFont="1" applyAlignment="1">
      <alignment horizontal="right"/>
    </xf>
    <xf numFmtId="170" fontId="102" fillId="0" borderId="0" xfId="0" applyNumberFormat="1" applyFont="1" applyAlignment="1">
      <alignment horizontal="right"/>
    </xf>
    <xf numFmtId="170" fontId="103" fillId="0" borderId="0" xfId="0" applyNumberFormat="1" applyFont="1" applyAlignment="1">
      <alignment horizontal="right"/>
    </xf>
    <xf numFmtId="170" fontId="104" fillId="0" borderId="0" xfId="0" applyNumberFormat="1" applyFont="1" applyAlignment="1">
      <alignment horizontal="right"/>
    </xf>
    <xf numFmtId="170" fontId="105" fillId="0" borderId="0" xfId="0" applyNumberFormat="1" applyFont="1" applyAlignment="1">
      <alignment horizontal="right"/>
    </xf>
    <xf numFmtId="10" fontId="14" fillId="5" borderId="18" xfId="0" applyNumberFormat="1" applyFont="1" applyFill="1" applyBorder="1" applyAlignment="1">
      <alignment horizontal="center"/>
    </xf>
    <xf numFmtId="10" fontId="90" fillId="16" borderId="35" xfId="0" applyNumberFormat="1" applyFont="1" applyFill="1" applyBorder="1"/>
    <xf numFmtId="0" fontId="78" fillId="0" borderId="0" xfId="8" applyAlignment="1">
      <alignment horizontal="left"/>
    </xf>
    <xf numFmtId="169" fontId="30" fillId="14" borderId="0" xfId="0" applyNumberFormat="1" applyFont="1" applyFill="1" applyAlignment="1">
      <alignment horizontal="center"/>
    </xf>
    <xf numFmtId="10" fontId="30" fillId="14" borderId="16" xfId="0" applyNumberFormat="1" applyFont="1" applyFill="1" applyBorder="1" applyAlignment="1">
      <alignment horizontal="center"/>
    </xf>
    <xf numFmtId="10" fontId="107" fillId="0" borderId="22" xfId="1" applyNumberFormat="1" applyFont="1" applyBorder="1" applyAlignment="1">
      <alignment horizontal="center"/>
    </xf>
    <xf numFmtId="0" fontId="108" fillId="0" borderId="0" xfId="0" applyFont="1"/>
    <xf numFmtId="10" fontId="30" fillId="14" borderId="40" xfId="0" applyNumberFormat="1" applyFont="1" applyFill="1" applyBorder="1" applyAlignment="1">
      <alignment horizontal="center"/>
    </xf>
    <xf numFmtId="9" fontId="14" fillId="0" borderId="0" xfId="0" applyNumberFormat="1" applyFont="1" applyAlignment="1">
      <alignment horizontal="center"/>
    </xf>
    <xf numFmtId="9" fontId="14" fillId="0" borderId="61" xfId="0" applyNumberFormat="1" applyFont="1" applyBorder="1" applyAlignment="1">
      <alignment horizontal="center"/>
    </xf>
    <xf numFmtId="179" fontId="86" fillId="5" borderId="58" xfId="0" applyNumberFormat="1" applyFont="1" applyFill="1" applyBorder="1" applyAlignment="1">
      <alignment horizontal="center"/>
    </xf>
    <xf numFmtId="182" fontId="30" fillId="0" borderId="55" xfId="0" applyNumberFormat="1" applyFont="1" applyBorder="1"/>
    <xf numFmtId="10" fontId="30" fillId="14" borderId="14" xfId="0" applyNumberFormat="1" applyFont="1" applyFill="1" applyBorder="1" applyAlignment="1">
      <alignment horizontal="center"/>
    </xf>
    <xf numFmtId="10" fontId="14" fillId="0" borderId="23" xfId="0" applyNumberFormat="1" applyFont="1" applyBorder="1" applyAlignment="1">
      <alignment horizontal="center"/>
    </xf>
    <xf numFmtId="169" fontId="110" fillId="12" borderId="0" xfId="0" applyNumberFormat="1" applyFont="1" applyFill="1"/>
    <xf numFmtId="10" fontId="30" fillId="0" borderId="0" xfId="0" applyNumberFormat="1" applyFont="1" applyAlignment="1">
      <alignment horizontal="center"/>
    </xf>
    <xf numFmtId="169" fontId="30" fillId="15" borderId="0" xfId="0" applyNumberFormat="1" applyFont="1" applyFill="1"/>
    <xf numFmtId="169" fontId="112" fillId="15" borderId="0" xfId="0" applyNumberFormat="1" applyFont="1" applyFill="1"/>
    <xf numFmtId="0" fontId="33" fillId="8" borderId="0" xfId="0" applyFont="1" applyFill="1" applyAlignment="1">
      <alignment horizontal="center"/>
    </xf>
    <xf numFmtId="0" fontId="112" fillId="0" borderId="0" xfId="0" applyFont="1"/>
    <xf numFmtId="170" fontId="113" fillId="0" borderId="0" xfId="0" applyNumberFormat="1" applyFont="1" applyAlignment="1">
      <alignment horizontal="center"/>
    </xf>
    <xf numFmtId="170" fontId="114" fillId="0" borderId="0" xfId="0" applyNumberFormat="1" applyFont="1" applyAlignment="1">
      <alignment horizontal="center"/>
    </xf>
    <xf numFmtId="3" fontId="115" fillId="12" borderId="0" xfId="0" applyNumberFormat="1" applyFont="1" applyFill="1" applyAlignment="1">
      <alignment horizontal="center"/>
    </xf>
    <xf numFmtId="0" fontId="117" fillId="13" borderId="0" xfId="0" applyFont="1" applyFill="1"/>
    <xf numFmtId="49" fontId="117" fillId="13" borderId="0" xfId="0" applyNumberFormat="1" applyFont="1" applyFill="1" applyAlignment="1">
      <alignment horizontal="center"/>
    </xf>
    <xf numFmtId="0" fontId="117" fillId="8" borderId="0" xfId="0" applyFont="1" applyFill="1"/>
    <xf numFmtId="0" fontId="118" fillId="0" borderId="0" xfId="0" applyFont="1" applyAlignment="1">
      <alignment vertical="top" wrapText="1"/>
    </xf>
    <xf numFmtId="170" fontId="119" fillId="14" borderId="0" xfId="0" applyNumberFormat="1" applyFont="1" applyFill="1"/>
    <xf numFmtId="170" fontId="119" fillId="0" borderId="0" xfId="0" applyNumberFormat="1" applyFont="1"/>
    <xf numFmtId="9" fontId="111" fillId="14" borderId="0" xfId="0" applyNumberFormat="1" applyFont="1" applyFill="1"/>
    <xf numFmtId="170" fontId="114" fillId="0" borderId="0" xfId="0" applyNumberFormat="1" applyFont="1"/>
    <xf numFmtId="170" fontId="113" fillId="14" borderId="0" xfId="0" applyNumberFormat="1" applyFont="1" applyFill="1"/>
    <xf numFmtId="170" fontId="113" fillId="0" borderId="0" xfId="0" applyNumberFormat="1" applyFont="1"/>
    <xf numFmtId="0" fontId="116" fillId="0" borderId="14" xfId="0" applyFont="1" applyBorder="1"/>
    <xf numFmtId="0" fontId="112" fillId="0" borderId="14" xfId="0" applyFont="1" applyBorder="1"/>
    <xf numFmtId="0" fontId="118" fillId="0" borderId="14" xfId="0" applyFont="1" applyBorder="1" applyAlignment="1">
      <alignment vertical="top" wrapText="1"/>
    </xf>
    <xf numFmtId="170" fontId="119" fillId="14" borderId="14" xfId="0" applyNumberFormat="1" applyFont="1" applyFill="1" applyBorder="1"/>
    <xf numFmtId="170" fontId="119" fillId="15" borderId="14" xfId="0" applyNumberFormat="1" applyFont="1" applyFill="1" applyBorder="1"/>
    <xf numFmtId="170" fontId="114" fillId="14" borderId="0" xfId="0" applyNumberFormat="1" applyFont="1" applyFill="1"/>
    <xf numFmtId="170" fontId="114" fillId="5" borderId="0" xfId="0" applyNumberFormat="1" applyFont="1" applyFill="1"/>
    <xf numFmtId="9" fontId="110" fillId="12" borderId="0" xfId="0" applyNumberFormat="1" applyFont="1" applyFill="1"/>
    <xf numFmtId="9" fontId="110" fillId="15" borderId="0" xfId="0" applyNumberFormat="1" applyFont="1" applyFill="1"/>
    <xf numFmtId="0" fontId="122" fillId="0" borderId="0" xfId="0" applyFont="1" applyAlignment="1">
      <alignment horizontal="left" vertical="top" wrapText="1"/>
    </xf>
    <xf numFmtId="0" fontId="122" fillId="0" borderId="0" xfId="0" applyFont="1" applyAlignment="1">
      <alignment wrapText="1"/>
    </xf>
    <xf numFmtId="0" fontId="123" fillId="0" borderId="0" xfId="0" applyFont="1" applyAlignment="1">
      <alignment horizontal="right" wrapText="1"/>
    </xf>
    <xf numFmtId="0" fontId="123" fillId="0" borderId="0" xfId="0" applyFont="1" applyAlignment="1">
      <alignment vertical="center" wrapText="1"/>
    </xf>
    <xf numFmtId="3" fontId="125" fillId="5" borderId="0" xfId="0" applyNumberFormat="1" applyFont="1" applyFill="1" applyAlignment="1">
      <alignment horizontal="right" vertical="center" indent="2"/>
    </xf>
    <xf numFmtId="3" fontId="125" fillId="0" borderId="0" xfId="0" applyNumberFormat="1" applyFont="1" applyAlignment="1">
      <alignment horizontal="right" vertical="center" indent="2"/>
    </xf>
    <xf numFmtId="0" fontId="122" fillId="0" borderId="0" xfId="0" applyFont="1" applyAlignment="1">
      <alignment horizontal="right" wrapText="1"/>
    </xf>
    <xf numFmtId="0" fontId="122" fillId="0" borderId="0" xfId="0" applyFont="1" applyAlignment="1">
      <alignment horizontal="left" wrapText="1"/>
    </xf>
    <xf numFmtId="170" fontId="119" fillId="22" borderId="0" xfId="0" applyNumberFormat="1" applyFont="1" applyFill="1"/>
    <xf numFmtId="0" fontId="128" fillId="0" borderId="0" xfId="0" applyFont="1"/>
    <xf numFmtId="170" fontId="114" fillId="22" borderId="0" xfId="0" applyNumberFormat="1" applyFont="1" applyFill="1"/>
    <xf numFmtId="9" fontId="111" fillId="22" borderId="0" xfId="0" applyNumberFormat="1" applyFont="1" applyFill="1"/>
    <xf numFmtId="2" fontId="0" fillId="22" borderId="0" xfId="0" applyNumberFormat="1" applyFill="1"/>
    <xf numFmtId="170" fontId="119" fillId="22" borderId="14" xfId="0" applyNumberFormat="1" applyFont="1" applyFill="1" applyBorder="1"/>
    <xf numFmtId="170" fontId="113" fillId="22" borderId="0" xfId="0" applyNumberFormat="1" applyFont="1" applyFill="1"/>
    <xf numFmtId="170" fontId="129" fillId="15" borderId="0" xfId="0" applyNumberFormat="1" applyFont="1" applyFill="1"/>
    <xf numFmtId="170" fontId="129" fillId="15" borderId="0" xfId="0" applyNumberFormat="1" applyFont="1" applyFill="1" applyAlignment="1">
      <alignment horizontal="center" vertical="center"/>
    </xf>
    <xf numFmtId="170" fontId="114" fillId="15" borderId="0" xfId="0" applyNumberFormat="1" applyFont="1" applyFill="1" applyAlignment="1">
      <alignment horizontal="center" vertical="center"/>
    </xf>
    <xf numFmtId="170" fontId="114" fillId="23" borderId="0" xfId="0" applyNumberFormat="1" applyFont="1" applyFill="1"/>
    <xf numFmtId="170" fontId="119" fillId="23" borderId="0" xfId="0" applyNumberFormat="1" applyFont="1" applyFill="1"/>
    <xf numFmtId="170" fontId="129" fillId="23" borderId="0" xfId="0" applyNumberFormat="1" applyFont="1" applyFill="1"/>
    <xf numFmtId="2" fontId="0" fillId="23" borderId="0" xfId="0" applyNumberFormat="1" applyFill="1"/>
    <xf numFmtId="0" fontId="112" fillId="22" borderId="0" xfId="0" applyFont="1" applyFill="1"/>
    <xf numFmtId="0" fontId="118" fillId="22" borderId="0" xfId="0" applyFont="1" applyFill="1" applyAlignment="1">
      <alignment vertical="top" wrapText="1"/>
    </xf>
    <xf numFmtId="0" fontId="0" fillId="22" borderId="0" xfId="0" applyFill="1"/>
    <xf numFmtId="9" fontId="120" fillId="22" borderId="0" xfId="0" applyNumberFormat="1" applyFont="1" applyFill="1"/>
    <xf numFmtId="9" fontId="110" fillId="22" borderId="0" xfId="0" applyNumberFormat="1" applyFont="1" applyFill="1"/>
    <xf numFmtId="0" fontId="121" fillId="22" borderId="0" xfId="0" applyFont="1" applyFill="1" applyAlignment="1">
      <alignment horizontal="left" vertical="top" wrapText="1"/>
    </xf>
    <xf numFmtId="0" fontId="124" fillId="22" borderId="0" xfId="0" applyFont="1" applyFill="1"/>
    <xf numFmtId="9" fontId="126" fillId="22" borderId="0" xfId="0" applyNumberFormat="1" applyFont="1" applyFill="1"/>
    <xf numFmtId="0" fontId="63" fillId="22" borderId="0" xfId="0" applyFont="1" applyFill="1"/>
    <xf numFmtId="0" fontId="127" fillId="22" borderId="0" xfId="0" applyFont="1" applyFill="1"/>
    <xf numFmtId="0" fontId="112" fillId="22" borderId="62" xfId="0" applyFont="1" applyFill="1" applyBorder="1"/>
    <xf numFmtId="9" fontId="120" fillId="22" borderId="62" xfId="0" applyNumberFormat="1" applyFont="1" applyFill="1" applyBorder="1"/>
    <xf numFmtId="0" fontId="118" fillId="22" borderId="62" xfId="0" applyFont="1" applyFill="1" applyBorder="1" applyAlignment="1">
      <alignment vertical="top" wrapText="1"/>
    </xf>
    <xf numFmtId="9" fontId="111" fillId="22" borderId="62" xfId="0" applyNumberFormat="1" applyFont="1" applyFill="1" applyBorder="1"/>
    <xf numFmtId="9" fontId="110" fillId="22" borderId="62" xfId="0" applyNumberFormat="1" applyFont="1" applyFill="1" applyBorder="1"/>
    <xf numFmtId="170" fontId="114" fillId="15" borderId="14" xfId="0" applyNumberFormat="1" applyFont="1" applyFill="1" applyBorder="1"/>
    <xf numFmtId="169" fontId="29" fillId="9" borderId="0" xfId="0" applyNumberFormat="1" applyFont="1" applyFill="1" applyAlignment="1">
      <alignment vertical="center"/>
    </xf>
    <xf numFmtId="169" fontId="29" fillId="11" borderId="0" xfId="0" applyNumberFormat="1" applyFont="1" applyFill="1" applyAlignment="1">
      <alignment vertical="center"/>
    </xf>
    <xf numFmtId="10" fontId="0" fillId="0" borderId="31" xfId="0" applyNumberFormat="1" applyBorder="1" applyAlignment="1">
      <alignment horizontal="center"/>
    </xf>
    <xf numFmtId="0" fontId="131" fillId="0" borderId="0" xfId="0" applyFont="1"/>
    <xf numFmtId="10" fontId="55" fillId="12" borderId="0" xfId="0" applyNumberFormat="1" applyFont="1" applyFill="1"/>
    <xf numFmtId="171" fontId="51" fillId="14" borderId="0" xfId="0" applyNumberFormat="1" applyFont="1" applyFill="1" applyAlignment="1">
      <alignment horizontal="center" vertical="center"/>
    </xf>
    <xf numFmtId="170" fontId="18" fillId="23" borderId="0" xfId="0" applyNumberFormat="1" applyFont="1" applyFill="1"/>
    <xf numFmtId="0" fontId="0" fillId="23" borderId="0" xfId="0" applyFill="1"/>
    <xf numFmtId="170" fontId="49" fillId="24" borderId="0" xfId="0" applyNumberFormat="1" applyFont="1" applyFill="1" applyAlignment="1">
      <alignment vertical="center" wrapText="1"/>
    </xf>
    <xf numFmtId="170" fontId="30" fillId="23" borderId="0" xfId="0" applyNumberFormat="1" applyFont="1" applyFill="1" applyAlignment="1">
      <alignment vertical="center"/>
    </xf>
    <xf numFmtId="170" fontId="71" fillId="23" borderId="16" xfId="0" applyNumberFormat="1" applyFont="1" applyFill="1" applyBorder="1" applyAlignment="1">
      <alignment horizontal="right"/>
    </xf>
    <xf numFmtId="176" fontId="133" fillId="24" borderId="0" xfId="0" applyNumberFormat="1" applyFont="1" applyFill="1" applyAlignment="1">
      <alignment vertical="top" wrapText="1"/>
    </xf>
    <xf numFmtId="169" fontId="133" fillId="24" borderId="0" xfId="0" applyNumberFormat="1" applyFont="1" applyFill="1" applyAlignment="1">
      <alignment vertical="top" wrapText="1"/>
    </xf>
    <xf numFmtId="10" fontId="131" fillId="24" borderId="0" xfId="0" applyNumberFormat="1" applyFont="1" applyFill="1"/>
    <xf numFmtId="0" fontId="133" fillId="5" borderId="0" xfId="0" applyFont="1" applyFill="1" applyAlignment="1">
      <alignment vertical="top" wrapText="1"/>
    </xf>
    <xf numFmtId="10" fontId="133" fillId="24" borderId="0" xfId="0" applyNumberFormat="1" applyFont="1" applyFill="1" applyAlignment="1">
      <alignment vertical="top" wrapText="1"/>
    </xf>
    <xf numFmtId="0" fontId="133" fillId="24" borderId="0" xfId="0" applyFont="1" applyFill="1" applyAlignment="1">
      <alignment vertical="top" wrapText="1"/>
    </xf>
    <xf numFmtId="0" fontId="134" fillId="0" borderId="0" xfId="0" applyFont="1" applyAlignment="1">
      <alignment horizontal="center"/>
    </xf>
    <xf numFmtId="170" fontId="134" fillId="0" borderId="0" xfId="0" applyNumberFormat="1" applyFont="1" applyAlignment="1">
      <alignment horizontal="center"/>
    </xf>
    <xf numFmtId="0" fontId="131" fillId="0" borderId="0" xfId="0" applyFont="1" applyAlignment="1">
      <alignment horizontal="center"/>
    </xf>
    <xf numFmtId="178" fontId="131" fillId="0" borderId="0" xfId="0" applyNumberFormat="1" applyFont="1"/>
    <xf numFmtId="2" fontId="135" fillId="0" borderId="0" xfId="0" applyNumberFormat="1" applyFont="1" applyAlignment="1">
      <alignment horizontal="center"/>
    </xf>
    <xf numFmtId="184" fontId="89" fillId="14" borderId="63" xfId="0" applyNumberFormat="1" applyFont="1" applyFill="1" applyBorder="1" applyAlignment="1">
      <alignment horizontal="center"/>
    </xf>
    <xf numFmtId="169" fontId="136" fillId="7" borderId="64" xfId="0" applyNumberFormat="1" applyFont="1" applyFill="1" applyBorder="1"/>
    <xf numFmtId="0" fontId="137" fillId="7" borderId="65" xfId="0" applyFont="1" applyFill="1" applyBorder="1"/>
    <xf numFmtId="0" fontId="137" fillId="7" borderId="8" xfId="0" applyFont="1" applyFill="1" applyBorder="1"/>
    <xf numFmtId="0" fontId="137" fillId="7" borderId="6" xfId="0" applyFont="1" applyFill="1" applyBorder="1"/>
    <xf numFmtId="0" fontId="0" fillId="7" borderId="8" xfId="0" applyFill="1" applyBorder="1"/>
    <xf numFmtId="169" fontId="29" fillId="9" borderId="66" xfId="0" applyNumberFormat="1" applyFont="1" applyFill="1" applyBorder="1" applyAlignment="1">
      <alignment horizontal="center" vertical="center"/>
    </xf>
    <xf numFmtId="0" fontId="0" fillId="0" borderId="67" xfId="0" applyBorder="1"/>
    <xf numFmtId="185" fontId="138" fillId="0" borderId="10" xfId="0" applyNumberFormat="1" applyFont="1" applyBorder="1"/>
    <xf numFmtId="0" fontId="0" fillId="0" borderId="9" xfId="0" applyBorder="1" applyAlignment="1">
      <alignment horizontal="center"/>
    </xf>
    <xf numFmtId="0" fontId="137" fillId="7" borderId="10" xfId="0" applyFont="1" applyFill="1" applyBorder="1"/>
    <xf numFmtId="10" fontId="41" fillId="10" borderId="66" xfId="0" applyNumberFormat="1" applyFont="1" applyFill="1" applyBorder="1" applyAlignment="1">
      <alignment horizontal="center"/>
    </xf>
    <xf numFmtId="0" fontId="0" fillId="0" borderId="11" xfId="0" applyBorder="1" applyAlignment="1">
      <alignment horizontal="center"/>
    </xf>
    <xf numFmtId="0" fontId="137" fillId="7" borderId="68" xfId="0" applyFont="1" applyFill="1" applyBorder="1"/>
    <xf numFmtId="169" fontId="29" fillId="9" borderId="10" xfId="0" applyNumberFormat="1" applyFont="1" applyFill="1" applyBorder="1" applyAlignment="1">
      <alignment vertical="center"/>
    </xf>
    <xf numFmtId="169" fontId="29" fillId="11" borderId="66" xfId="0" applyNumberFormat="1" applyFont="1" applyFill="1" applyBorder="1" applyAlignment="1">
      <alignment horizontal="center" vertical="center"/>
    </xf>
    <xf numFmtId="10" fontId="41" fillId="10" borderId="0" xfId="0" applyNumberFormat="1" applyFont="1" applyFill="1" applyAlignment="1">
      <alignment vertical="center"/>
    </xf>
    <xf numFmtId="10" fontId="130" fillId="10" borderId="0" xfId="0" applyNumberFormat="1" applyFont="1" applyFill="1" applyAlignment="1">
      <alignment vertical="center"/>
    </xf>
    <xf numFmtId="10" fontId="130" fillId="10" borderId="10" xfId="0" applyNumberFormat="1" applyFont="1" applyFill="1" applyBorder="1" applyAlignment="1">
      <alignment vertical="center"/>
    </xf>
    <xf numFmtId="169" fontId="41" fillId="0" borderId="69" xfId="0" applyNumberFormat="1" applyFont="1" applyBorder="1" applyAlignment="1">
      <alignment horizontal="center" vertical="center"/>
    </xf>
    <xf numFmtId="169" fontId="54" fillId="5" borderId="0" xfId="0" applyNumberFormat="1" applyFont="1" applyFill="1"/>
    <xf numFmtId="169" fontId="55" fillId="5" borderId="0" xfId="0" applyNumberFormat="1" applyFont="1" applyFill="1"/>
    <xf numFmtId="0" fontId="139" fillId="7" borderId="64" xfId="0" applyFont="1" applyFill="1" applyBorder="1"/>
    <xf numFmtId="169" fontId="29" fillId="11" borderId="10" xfId="0" applyNumberFormat="1" applyFont="1" applyFill="1" applyBorder="1" applyAlignment="1">
      <alignment vertical="center"/>
    </xf>
    <xf numFmtId="10" fontId="138" fillId="0" borderId="10" xfId="0" applyNumberFormat="1" applyFont="1" applyBorder="1"/>
    <xf numFmtId="0" fontId="0" fillId="0" borderId="70" xfId="0" applyBorder="1" applyAlignment="1">
      <alignment horizontal="center"/>
    </xf>
    <xf numFmtId="169" fontId="41" fillId="0" borderId="12" xfId="0" applyNumberFormat="1" applyFont="1" applyBorder="1" applyAlignment="1">
      <alignment vertical="center"/>
    </xf>
    <xf numFmtId="169" fontId="41" fillId="0" borderId="13" xfId="0" applyNumberFormat="1" applyFont="1" applyBorder="1" applyAlignment="1">
      <alignment vertical="center"/>
    </xf>
    <xf numFmtId="0" fontId="0" fillId="0" borderId="71" xfId="0" applyBorder="1"/>
    <xf numFmtId="10" fontId="138" fillId="0" borderId="68" xfId="0" applyNumberFormat="1" applyFont="1" applyBorder="1"/>
    <xf numFmtId="0" fontId="140" fillId="7" borderId="0" xfId="0" applyFont="1" applyFill="1"/>
    <xf numFmtId="0" fontId="0" fillId="7" borderId="0" xfId="0" applyFill="1"/>
    <xf numFmtId="0" fontId="141" fillId="0" borderId="0" xfId="0" applyFont="1"/>
    <xf numFmtId="0" fontId="141" fillId="0" borderId="0" xfId="0" applyFont="1" applyAlignment="1">
      <alignment horizontal="center"/>
    </xf>
    <xf numFmtId="169" fontId="142" fillId="0" borderId="0" xfId="0" applyNumberFormat="1" applyFont="1"/>
    <xf numFmtId="185" fontId="142" fillId="10" borderId="0" xfId="0" applyNumberFormat="1" applyFont="1" applyFill="1"/>
    <xf numFmtId="169" fontId="142" fillId="10" borderId="0" xfId="0" applyNumberFormat="1" applyFont="1" applyFill="1"/>
    <xf numFmtId="169" fontId="45" fillId="10" borderId="0" xfId="0" applyNumberFormat="1" applyFont="1" applyFill="1" applyAlignment="1">
      <alignment vertical="center"/>
    </xf>
    <xf numFmtId="169" fontId="45" fillId="10" borderId="10" xfId="0" applyNumberFormat="1" applyFont="1" applyFill="1" applyBorder="1" applyAlignment="1">
      <alignment vertical="center"/>
    </xf>
    <xf numFmtId="169" fontId="87" fillId="11" borderId="0" xfId="0" applyNumberFormat="1" applyFont="1" applyFill="1" applyAlignment="1">
      <alignment vertical="center"/>
    </xf>
    <xf numFmtId="169" fontId="87" fillId="11" borderId="10" xfId="0" applyNumberFormat="1" applyFont="1" applyFill="1" applyBorder="1" applyAlignment="1">
      <alignment vertical="center"/>
    </xf>
    <xf numFmtId="169" fontId="87" fillId="0" borderId="12" xfId="0" applyNumberFormat="1" applyFont="1" applyBorder="1" applyAlignment="1">
      <alignment vertical="center"/>
    </xf>
    <xf numFmtId="169" fontId="87" fillId="0" borderId="13" xfId="0" applyNumberFormat="1" applyFont="1" applyBorder="1" applyAlignment="1">
      <alignment vertical="center"/>
    </xf>
    <xf numFmtId="169" fontId="82" fillId="10" borderId="0" xfId="0" applyNumberFormat="1" applyFont="1" applyFill="1" applyAlignment="1">
      <alignment vertical="center"/>
    </xf>
    <xf numFmtId="169" fontId="109" fillId="10" borderId="0" xfId="0" applyNumberFormat="1" applyFont="1" applyFill="1" applyAlignment="1">
      <alignment vertical="center"/>
    </xf>
    <xf numFmtId="169" fontId="109" fillId="10" borderId="10" xfId="0" applyNumberFormat="1" applyFont="1" applyFill="1" applyBorder="1" applyAlignment="1">
      <alignment vertical="center"/>
    </xf>
    <xf numFmtId="169" fontId="130" fillId="12" borderId="0" xfId="0" applyNumberFormat="1" applyFont="1" applyFill="1" applyAlignment="1">
      <alignment vertical="center"/>
    </xf>
    <xf numFmtId="10" fontId="143" fillId="10" borderId="0" xfId="0" applyNumberFormat="1" applyFont="1" applyFill="1" applyAlignment="1">
      <alignment vertical="center"/>
    </xf>
    <xf numFmtId="10" fontId="143" fillId="10" borderId="10" xfId="0" applyNumberFormat="1" applyFont="1" applyFill="1" applyBorder="1" applyAlignment="1">
      <alignment vertical="center"/>
    </xf>
    <xf numFmtId="0" fontId="0" fillId="0" borderId="0" xfId="0" applyAlignment="1">
      <alignment vertical="center"/>
    </xf>
    <xf numFmtId="0" fontId="87" fillId="22" borderId="0" xfId="0" applyFont="1" applyFill="1"/>
    <xf numFmtId="186" fontId="0" fillId="15" borderId="0" xfId="0" applyNumberFormat="1" applyFill="1"/>
    <xf numFmtId="186" fontId="0" fillId="0" borderId="0" xfId="0" applyNumberFormat="1"/>
    <xf numFmtId="0" fontId="50" fillId="22" borderId="0" xfId="0" applyFont="1" applyFill="1" applyAlignment="1">
      <alignment horizontal="center" vertical="top" wrapText="1"/>
    </xf>
    <xf numFmtId="0" fontId="50" fillId="22" borderId="0" xfId="0" applyFont="1" applyFill="1" applyAlignment="1">
      <alignment horizontal="left" vertical="top" wrapText="1"/>
    </xf>
    <xf numFmtId="0" fontId="32" fillId="7" borderId="8" xfId="0" applyFont="1" applyFill="1" applyBorder="1" applyAlignment="1">
      <alignment vertical="center"/>
    </xf>
    <xf numFmtId="0" fontId="32" fillId="7" borderId="8" xfId="0" applyFont="1" applyFill="1" applyBorder="1" applyAlignment="1">
      <alignment horizontal="center" vertical="center"/>
    </xf>
    <xf numFmtId="0" fontId="68" fillId="0" borderId="0" xfId="0" applyFont="1" applyAlignment="1">
      <alignment vertical="center" wrapText="1"/>
    </xf>
    <xf numFmtId="0" fontId="50" fillId="0" borderId="0" xfId="0" applyFont="1" applyAlignment="1">
      <alignment horizontal="right" wrapText="1"/>
    </xf>
    <xf numFmtId="0" fontId="50" fillId="0" borderId="0" xfId="0" applyFont="1" applyAlignment="1">
      <alignment horizontal="left" vertical="top" wrapText="1"/>
    </xf>
    <xf numFmtId="0" fontId="61" fillId="0" borderId="0" xfId="0" applyFont="1" applyAlignment="1">
      <alignment vertical="center" wrapText="1"/>
    </xf>
    <xf numFmtId="3" fontId="50" fillId="0" borderId="0" xfId="0" applyNumberFormat="1" applyFont="1" applyAlignment="1">
      <alignment horizontal="right" wrapText="1"/>
    </xf>
    <xf numFmtId="0" fontId="66" fillId="0" borderId="0" xfId="0" applyFont="1" applyAlignment="1">
      <alignment horizontal="center" wrapText="1"/>
    </xf>
    <xf numFmtId="0" fontId="50" fillId="0" borderId="0" xfId="0" applyFont="1" applyAlignment="1">
      <alignment horizontal="left" vertical="center" wrapText="1"/>
    </xf>
    <xf numFmtId="0" fontId="31" fillId="0" borderId="0" xfId="0" applyFont="1" applyAlignment="1">
      <alignment horizontal="center"/>
    </xf>
    <xf numFmtId="0" fontId="32" fillId="8" borderId="0" xfId="0" applyFont="1" applyFill="1" applyAlignment="1">
      <alignment horizontal="center"/>
    </xf>
    <xf numFmtId="0" fontId="32" fillId="13" borderId="0" xfId="0" applyFont="1" applyFill="1" applyAlignment="1">
      <alignment horizontal="center"/>
    </xf>
    <xf numFmtId="0" fontId="99" fillId="13" borderId="47" xfId="0" applyFont="1" applyFill="1" applyBorder="1" applyAlignment="1">
      <alignment horizontal="center"/>
    </xf>
    <xf numFmtId="0" fontId="48" fillId="5" borderId="56" xfId="0" applyFont="1" applyFill="1" applyBorder="1" applyAlignment="1">
      <alignment horizontal="center"/>
    </xf>
    <xf numFmtId="0" fontId="48" fillId="5" borderId="57" xfId="0" applyFont="1" applyFill="1" applyBorder="1" applyAlignment="1">
      <alignment horizontal="center"/>
    </xf>
    <xf numFmtId="170" fontId="31" fillId="0" borderId="0" xfId="0" applyNumberFormat="1" applyFont="1" applyAlignment="1">
      <alignment horizontal="center" vertical="center"/>
    </xf>
    <xf numFmtId="0" fontId="52" fillId="0" borderId="0" xfId="0" applyFont="1" applyAlignment="1">
      <alignment vertical="center" wrapText="1"/>
    </xf>
    <xf numFmtId="0" fontId="42" fillId="8" borderId="29" xfId="0" applyFont="1" applyFill="1" applyBorder="1" applyAlignment="1">
      <alignment horizontal="center"/>
    </xf>
    <xf numFmtId="0" fontId="33" fillId="0" borderId="0" xfId="0" applyFont="1" applyAlignment="1">
      <alignment horizontal="center"/>
    </xf>
    <xf numFmtId="0" fontId="123" fillId="0" borderId="0" xfId="0" applyFont="1" applyAlignment="1">
      <alignment vertical="center" wrapText="1"/>
    </xf>
    <xf numFmtId="0" fontId="116" fillId="0" borderId="0" xfId="0" applyFont="1" applyAlignment="1">
      <alignment horizontal="center"/>
    </xf>
    <xf numFmtId="0" fontId="37" fillId="0" borderId="0" xfId="0" applyFont="1" applyAlignment="1">
      <alignment horizontal="center"/>
    </xf>
    <xf numFmtId="0" fontId="35" fillId="13" borderId="0" xfId="0" applyFont="1" applyFill="1" applyAlignment="1">
      <alignment horizontal="center" vertical="center"/>
    </xf>
    <xf numFmtId="0" fontId="35" fillId="13" borderId="0" xfId="0" applyFont="1" applyFill="1" applyAlignment="1">
      <alignment horizontal="center"/>
    </xf>
    <xf numFmtId="0" fontId="12" fillId="4" borderId="14" xfId="7" applyFont="1" applyFill="1" applyBorder="1" applyAlignment="1">
      <alignment horizontal="center" vertical="center" wrapText="1"/>
    </xf>
    <xf numFmtId="0" fontId="9" fillId="2" borderId="14" xfId="7" applyFont="1" applyFill="1" applyBorder="1" applyAlignment="1">
      <alignment horizontal="left" vertical="center" wrapText="1"/>
    </xf>
    <xf numFmtId="0" fontId="12" fillId="0" borderId="14" xfId="7" applyFont="1" applyBorder="1" applyAlignment="1">
      <alignment horizontal="center" vertical="center" wrapText="1"/>
    </xf>
    <xf numFmtId="0" fontId="27" fillId="0" borderId="0" xfId="7" applyFont="1" applyAlignment="1">
      <alignment horizontal="left" vertical="top" wrapText="1"/>
    </xf>
    <xf numFmtId="0" fontId="12" fillId="3" borderId="14" xfId="7" applyFont="1" applyFill="1" applyBorder="1" applyAlignment="1">
      <alignment horizontal="center" vertical="center" wrapText="1"/>
    </xf>
    <xf numFmtId="0" fontId="11" fillId="2" borderId="14" xfId="7" applyFont="1" applyFill="1" applyBorder="1" applyAlignment="1">
      <alignment horizontal="center" vertical="center" wrapText="1"/>
    </xf>
    <xf numFmtId="0" fontId="10" fillId="2" borderId="14" xfId="7" applyFont="1" applyFill="1" applyBorder="1" applyAlignment="1">
      <alignment horizontal="center" vertical="center" wrapText="1"/>
    </xf>
    <xf numFmtId="170" fontId="132" fillId="22" borderId="0" xfId="0" applyNumberFormat="1" applyFont="1" applyFill="1" applyAlignment="1">
      <alignment horizontal="right" vertical="center" wrapText="1"/>
    </xf>
  </cellXfs>
  <cellStyles count="9">
    <cellStyle name="Comma 2" xfId="2" xr:uid="{00000000-0005-0000-0000-000006000000}"/>
    <cellStyle name="Comma 3" xfId="3" xr:uid="{00000000-0005-0000-0000-000007000000}"/>
    <cellStyle name="Currency 2" xfId="4" xr:uid="{00000000-0005-0000-0000-000008000000}"/>
    <cellStyle name="Hiperlink" xfId="8" builtinId="8"/>
    <cellStyle name="Normal" xfId="0" builtinId="0"/>
    <cellStyle name="Normal 2" xfId="5" xr:uid="{00000000-0005-0000-0000-000009000000}"/>
    <cellStyle name="Normal 2 2" xfId="6" xr:uid="{00000000-0005-0000-0000-00000A000000}"/>
    <cellStyle name="Normal 3" xfId="7" xr:uid="{00000000-0005-0000-0000-00000B000000}"/>
    <cellStyle name="Porcentagem" xfId="1" builtinId="5"/>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141133"/>
      <rgbColor rgb="FF808000"/>
      <rgbColor rgb="FFEC1B23"/>
      <rgbColor rgb="FF008080"/>
      <rgbColor rgb="FFC0C0C0"/>
      <rgbColor rgb="FF808080"/>
      <rgbColor rgb="FF9999FF"/>
      <rgbColor rgb="FFB1141A"/>
      <rgbColor rgb="FFF2F2F2"/>
      <rgbColor rgb="FFD9D9D9"/>
      <rgbColor rgb="FF660066"/>
      <rgbColor rgb="FFFF7C80"/>
      <rgbColor rgb="FF0070C0"/>
      <rgbColor rgb="FFD1D1D1"/>
      <rgbColor rgb="FF000080"/>
      <rgbColor rgb="FFFF00FF"/>
      <rgbColor rgb="FFFFEB9C"/>
      <rgbColor rgb="FF00FFFF"/>
      <rgbColor rgb="FFF7080B"/>
      <rgbColor rgb="FF731013"/>
      <rgbColor rgb="FF008080"/>
      <rgbColor rgb="FF0000FF"/>
      <rgbColor rgb="FF00CCFF"/>
      <rgbColor rgb="FFFFFA93"/>
      <rgbColor rgb="FFC6EFCE"/>
      <rgbColor rgb="FFFFFF99"/>
      <rgbColor rgb="FFBFBFBF"/>
      <rgbColor rgb="FFFF99CC"/>
      <rgbColor rgb="FFCC99FF"/>
      <rgbColor rgb="FFFFC7CE"/>
      <rgbColor rgb="FF4E95D9"/>
      <rgbColor rgb="FF33CCCC"/>
      <rgbColor rgb="FF99CC00"/>
      <rgbColor rgb="FFFFCC00"/>
      <rgbColor rgb="FFFF9900"/>
      <rgbColor rgb="FFFF3F3F"/>
      <rgbColor rgb="FF747474"/>
      <rgbColor rgb="FF7F7F7F"/>
      <rgbColor rgb="FF30287A"/>
      <rgbColor rgb="FF467886"/>
      <rgbColor rgb="FF006100"/>
      <rgbColor rgb="FF333300"/>
      <rgbColor rgb="FF9C5700"/>
      <rgbColor rgb="FFCB1720"/>
      <rgbColor rgb="FF333399"/>
      <rgbColor rgb="FF404040"/>
      <rgbColor rgb="00003366"/>
      <rgbColor rgb="00339966"/>
      <rgbColor rgb="00003300"/>
      <rgbColor rgb="00333300"/>
      <rgbColor rgb="00993300"/>
      <rgbColor rgb="00993366"/>
      <rgbColor rgb="00333399"/>
      <rgbColor rgb="00333333"/>
    </indexedColors>
    <mruColors>
      <color rgb="FFD0D0D0"/>
      <color rgb="FFFFEB9C"/>
      <color rgb="FFBDC7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ichStyles" Target="richData/rich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 Id="rId30" Type="http://schemas.microsoft.com/office/2017/06/relationships/rdSupportingPropertyBag" Target="richData/rdsupportingpropertybag.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67320</xdr:colOff>
      <xdr:row>1</xdr:row>
      <xdr:rowOff>0</xdr:rowOff>
    </xdr:from>
    <xdr:to>
      <xdr:col>2</xdr:col>
      <xdr:colOff>888840</xdr:colOff>
      <xdr:row>3</xdr:row>
      <xdr:rowOff>125280</xdr:rowOff>
    </xdr:to>
    <xdr:pic>
      <xdr:nvPicPr>
        <xdr:cNvPr id="4" name="Picture 1">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67320" y="190440"/>
          <a:ext cx="1755000" cy="515880"/>
        </a:xfrm>
        <a:prstGeom prst="rect">
          <a:avLst/>
        </a:prstGeom>
        <a:ln w="0">
          <a:noFill/>
        </a:ln>
      </xdr:spPr>
    </xdr:pic>
    <xdr:clientData/>
  </xdr:twoCellAnchor>
  <xdr:twoCellAnchor editAs="oneCell">
    <xdr:from>
      <xdr:col>2</xdr:col>
      <xdr:colOff>1033920</xdr:colOff>
      <xdr:row>1</xdr:row>
      <xdr:rowOff>139320</xdr:rowOff>
    </xdr:from>
    <xdr:to>
      <xdr:col>2</xdr:col>
      <xdr:colOff>1229400</xdr:colOff>
      <xdr:row>3</xdr:row>
      <xdr:rowOff>6120</xdr:rowOff>
    </xdr:to>
    <xdr:pic>
      <xdr:nvPicPr>
        <xdr:cNvPr id="5" name="Picture 3">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l="23272" t="16066" r="23174" b="16066"/>
        <a:stretch/>
      </xdr:blipFill>
      <xdr:spPr>
        <a:xfrm>
          <a:off x="1967400" y="329760"/>
          <a:ext cx="195480" cy="257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821520</xdr:colOff>
      <xdr:row>2</xdr:row>
      <xdr:rowOff>125280</xdr:rowOff>
    </xdr:to>
    <xdr:pic>
      <xdr:nvPicPr>
        <xdr:cNvPr id="10" name="Picture 1">
          <a:extLst>
            <a:ext uri="{FF2B5EF4-FFF2-40B4-BE49-F238E27FC236}">
              <a16:creationId xmlns:a16="http://schemas.microsoft.com/office/drawing/2014/main" id="{00000000-0008-0000-0600-00000A000000}"/>
            </a:ext>
          </a:extLst>
        </xdr:cNvPr>
        <xdr:cNvPicPr/>
      </xdr:nvPicPr>
      <xdr:blipFill>
        <a:blip xmlns:r="http://schemas.openxmlformats.org/officeDocument/2006/relationships" r:embed="rId1"/>
        <a:stretch/>
      </xdr:blipFill>
      <xdr:spPr>
        <a:xfrm>
          <a:off x="0" y="0"/>
          <a:ext cx="1755000" cy="515880"/>
        </a:xfrm>
        <a:prstGeom prst="rect">
          <a:avLst/>
        </a:prstGeom>
        <a:ln w="0">
          <a:noFill/>
        </a:ln>
      </xdr:spPr>
    </xdr:pic>
    <xdr:clientData/>
  </xdr:twoCellAnchor>
  <xdr:twoCellAnchor editAs="oneCell">
    <xdr:from>
      <xdr:col>2</xdr:col>
      <xdr:colOff>978480</xdr:colOff>
      <xdr:row>0</xdr:row>
      <xdr:rowOff>139320</xdr:rowOff>
    </xdr:from>
    <xdr:to>
      <xdr:col>2</xdr:col>
      <xdr:colOff>1173960</xdr:colOff>
      <xdr:row>2</xdr:row>
      <xdr:rowOff>6120</xdr:rowOff>
    </xdr:to>
    <xdr:pic>
      <xdr:nvPicPr>
        <xdr:cNvPr id="11" name="Picture 3">
          <a:extLst>
            <a:ext uri="{FF2B5EF4-FFF2-40B4-BE49-F238E27FC236}">
              <a16:creationId xmlns:a16="http://schemas.microsoft.com/office/drawing/2014/main" id="{00000000-0008-0000-0600-00000B000000}"/>
            </a:ext>
          </a:extLst>
        </xdr:cNvPr>
        <xdr:cNvPicPr/>
      </xdr:nvPicPr>
      <xdr:blipFill>
        <a:blip xmlns:r="http://schemas.openxmlformats.org/officeDocument/2006/relationships" r:embed="rId2"/>
        <a:srcRect l="23272" t="16066" r="23174" b="16066"/>
        <a:stretch/>
      </xdr:blipFill>
      <xdr:spPr>
        <a:xfrm>
          <a:off x="1911960" y="139320"/>
          <a:ext cx="195480" cy="2574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114480</xdr:rowOff>
    </xdr:from>
    <xdr:to>
      <xdr:col>2</xdr:col>
      <xdr:colOff>506880</xdr:colOff>
      <xdr:row>3</xdr:row>
      <xdr:rowOff>49320</xdr:rowOff>
    </xdr:to>
    <xdr:pic>
      <xdr:nvPicPr>
        <xdr:cNvPr id="18" name="Picture 1">
          <a:extLst>
            <a:ext uri="{FF2B5EF4-FFF2-40B4-BE49-F238E27FC236}">
              <a16:creationId xmlns:a16="http://schemas.microsoft.com/office/drawing/2014/main" id="{00000000-0008-0000-0D00-000012000000}"/>
            </a:ext>
          </a:extLst>
        </xdr:cNvPr>
        <xdr:cNvPicPr/>
      </xdr:nvPicPr>
      <xdr:blipFill>
        <a:blip xmlns:r="http://schemas.openxmlformats.org/officeDocument/2006/relationships" r:embed="rId1"/>
        <a:stretch/>
      </xdr:blipFill>
      <xdr:spPr>
        <a:xfrm>
          <a:off x="0" y="114480"/>
          <a:ext cx="1959120" cy="534960"/>
        </a:xfrm>
        <a:prstGeom prst="rect">
          <a:avLst/>
        </a:prstGeom>
        <a:ln w="0">
          <a:noFill/>
        </a:ln>
      </xdr:spPr>
    </xdr:pic>
    <xdr:clientData/>
  </xdr:twoCellAnchor>
  <xdr:twoCellAnchor editAs="oneCell">
    <xdr:from>
      <xdr:col>2</xdr:col>
      <xdr:colOff>954360</xdr:colOff>
      <xdr:row>1</xdr:row>
      <xdr:rowOff>53640</xdr:rowOff>
    </xdr:from>
    <xdr:to>
      <xdr:col>2</xdr:col>
      <xdr:colOff>1149840</xdr:colOff>
      <xdr:row>2</xdr:row>
      <xdr:rowOff>110880</xdr:rowOff>
    </xdr:to>
    <xdr:pic>
      <xdr:nvPicPr>
        <xdr:cNvPr id="19" name="Picture 3">
          <a:extLst>
            <a:ext uri="{FF2B5EF4-FFF2-40B4-BE49-F238E27FC236}">
              <a16:creationId xmlns:a16="http://schemas.microsoft.com/office/drawing/2014/main" id="{00000000-0008-0000-0D00-000013000000}"/>
            </a:ext>
          </a:extLst>
        </xdr:cNvPr>
        <xdr:cNvPicPr/>
      </xdr:nvPicPr>
      <xdr:blipFill>
        <a:blip xmlns:r="http://schemas.openxmlformats.org/officeDocument/2006/relationships" r:embed="rId2"/>
        <a:srcRect l="23272" t="16066" r="23174" b="16066"/>
        <a:stretch/>
      </xdr:blipFill>
      <xdr:spPr>
        <a:xfrm>
          <a:off x="2406600" y="253800"/>
          <a:ext cx="195480" cy="2570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67320</xdr:colOff>
      <xdr:row>0</xdr:row>
      <xdr:rowOff>0</xdr:rowOff>
    </xdr:from>
    <xdr:to>
      <xdr:col>2</xdr:col>
      <xdr:colOff>851040</xdr:colOff>
      <xdr:row>2</xdr:row>
      <xdr:rowOff>125280</xdr:rowOff>
    </xdr:to>
    <xdr:pic>
      <xdr:nvPicPr>
        <xdr:cNvPr id="14" name="Picture 1">
          <a:extLst>
            <a:ext uri="{FF2B5EF4-FFF2-40B4-BE49-F238E27FC236}">
              <a16:creationId xmlns:a16="http://schemas.microsoft.com/office/drawing/2014/main" id="{00000000-0008-0000-0800-00000E000000}"/>
            </a:ext>
          </a:extLst>
        </xdr:cNvPr>
        <xdr:cNvPicPr/>
      </xdr:nvPicPr>
      <xdr:blipFill>
        <a:blip xmlns:r="http://schemas.openxmlformats.org/officeDocument/2006/relationships" r:embed="rId1"/>
        <a:stretch/>
      </xdr:blipFill>
      <xdr:spPr>
        <a:xfrm>
          <a:off x="67320" y="0"/>
          <a:ext cx="1761480" cy="515880"/>
        </a:xfrm>
        <a:prstGeom prst="rect">
          <a:avLst/>
        </a:prstGeom>
        <a:ln w="0">
          <a:noFill/>
        </a:ln>
      </xdr:spPr>
    </xdr:pic>
    <xdr:clientData/>
  </xdr:twoCellAnchor>
  <xdr:twoCellAnchor editAs="oneCell">
    <xdr:from>
      <xdr:col>2</xdr:col>
      <xdr:colOff>1000440</xdr:colOff>
      <xdr:row>0</xdr:row>
      <xdr:rowOff>139320</xdr:rowOff>
    </xdr:from>
    <xdr:to>
      <xdr:col>2</xdr:col>
      <xdr:colOff>1195920</xdr:colOff>
      <xdr:row>2</xdr:row>
      <xdr:rowOff>6120</xdr:rowOff>
    </xdr:to>
    <xdr:pic>
      <xdr:nvPicPr>
        <xdr:cNvPr id="15" name="Picture 3">
          <a:extLst>
            <a:ext uri="{FF2B5EF4-FFF2-40B4-BE49-F238E27FC236}">
              <a16:creationId xmlns:a16="http://schemas.microsoft.com/office/drawing/2014/main" id="{00000000-0008-0000-0800-00000F000000}"/>
            </a:ext>
          </a:extLst>
        </xdr:cNvPr>
        <xdr:cNvPicPr/>
      </xdr:nvPicPr>
      <xdr:blipFill>
        <a:blip xmlns:r="http://schemas.openxmlformats.org/officeDocument/2006/relationships" r:embed="rId2"/>
        <a:srcRect l="23272" t="16066" r="23174" b="16066"/>
        <a:stretch/>
      </xdr:blipFill>
      <xdr:spPr>
        <a:xfrm>
          <a:off x="1978200" y="139320"/>
          <a:ext cx="195480" cy="2574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104040</xdr:rowOff>
    </xdr:from>
    <xdr:to>
      <xdr:col>2</xdr:col>
      <xdr:colOff>783720</xdr:colOff>
      <xdr:row>3</xdr:row>
      <xdr:rowOff>51480</xdr:rowOff>
    </xdr:to>
    <xdr:pic>
      <xdr:nvPicPr>
        <xdr:cNvPr id="12" name="Picture 1">
          <a:extLst>
            <a:ext uri="{FF2B5EF4-FFF2-40B4-BE49-F238E27FC236}">
              <a16:creationId xmlns:a16="http://schemas.microsoft.com/office/drawing/2014/main" id="{00000000-0008-0000-0700-00000C000000}"/>
            </a:ext>
          </a:extLst>
        </xdr:cNvPr>
        <xdr:cNvPicPr/>
      </xdr:nvPicPr>
      <xdr:blipFill>
        <a:blip xmlns:r="http://schemas.openxmlformats.org/officeDocument/2006/relationships" r:embed="rId1"/>
        <a:stretch/>
      </xdr:blipFill>
      <xdr:spPr>
        <a:xfrm>
          <a:off x="0" y="104040"/>
          <a:ext cx="1761480" cy="519120"/>
        </a:xfrm>
        <a:prstGeom prst="rect">
          <a:avLst/>
        </a:prstGeom>
        <a:ln w="0">
          <a:noFill/>
        </a:ln>
      </xdr:spPr>
    </xdr:pic>
    <xdr:clientData/>
  </xdr:twoCellAnchor>
  <xdr:twoCellAnchor editAs="oneCell">
    <xdr:from>
      <xdr:col>2</xdr:col>
      <xdr:colOff>924840</xdr:colOff>
      <xdr:row>1</xdr:row>
      <xdr:rowOff>35640</xdr:rowOff>
    </xdr:from>
    <xdr:to>
      <xdr:col>2</xdr:col>
      <xdr:colOff>1120320</xdr:colOff>
      <xdr:row>2</xdr:row>
      <xdr:rowOff>105480</xdr:rowOff>
    </xdr:to>
    <xdr:pic>
      <xdr:nvPicPr>
        <xdr:cNvPr id="13" name="Picture 3">
          <a:extLst>
            <a:ext uri="{FF2B5EF4-FFF2-40B4-BE49-F238E27FC236}">
              <a16:creationId xmlns:a16="http://schemas.microsoft.com/office/drawing/2014/main" id="{00000000-0008-0000-0700-00000D000000}"/>
            </a:ext>
          </a:extLst>
        </xdr:cNvPr>
        <xdr:cNvPicPr/>
      </xdr:nvPicPr>
      <xdr:blipFill>
        <a:blip xmlns:r="http://schemas.openxmlformats.org/officeDocument/2006/relationships" r:embed="rId2"/>
        <a:srcRect l="23272" t="16066" r="23174" b="16066"/>
        <a:stretch/>
      </xdr:blipFill>
      <xdr:spPr>
        <a:xfrm>
          <a:off x="1902600" y="235800"/>
          <a:ext cx="195480" cy="2505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1189800</xdr:colOff>
      <xdr:row>2</xdr:row>
      <xdr:rowOff>125280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1690200" cy="506160"/>
        </a:xfrm>
        <a:prstGeom prst="rect">
          <a:avLst/>
        </a:prstGeom>
        <a:ln w="0">
          <a:noFill/>
        </a:ln>
      </xdr:spPr>
    </xdr:pic>
    <xdr:clientData/>
  </xdr:twoCellAnchor>
  <xdr:twoCellAnchor editAs="oneCell">
    <xdr:from>
      <xdr:col>2</xdr:col>
      <xdr:colOff>1336680</xdr:colOff>
      <xdr:row>0</xdr:row>
      <xdr:rowOff>139320</xdr:rowOff>
    </xdr:from>
    <xdr:to>
      <xdr:col>3</xdr:col>
      <xdr:colOff>33480</xdr:colOff>
      <xdr:row>2</xdr:row>
      <xdr:rowOff>6120</xdr:rowOff>
    </xdr:to>
    <xdr:pic>
      <xdr:nvPicPr>
        <xdr:cNvPr id="3" name="Picture 3">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l="23272" t="16066" r="23174" b="16066"/>
        <a:stretch/>
      </xdr:blipFill>
      <xdr:spPr>
        <a:xfrm>
          <a:off x="1837080" y="139320"/>
          <a:ext cx="519120" cy="247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47520</xdr:rowOff>
    </xdr:from>
    <xdr:to>
      <xdr:col>1</xdr:col>
      <xdr:colOff>739110</xdr:colOff>
      <xdr:row>3</xdr:row>
      <xdr:rowOff>2083</xdr:rowOff>
    </xdr:to>
    <xdr:pic>
      <xdr:nvPicPr>
        <xdr:cNvPr id="16" name="Picture 1">
          <a:extLst>
            <a:ext uri="{FF2B5EF4-FFF2-40B4-BE49-F238E27FC236}">
              <a16:creationId xmlns:a16="http://schemas.microsoft.com/office/drawing/2014/main" id="{00000000-0008-0000-0900-000010000000}"/>
            </a:ext>
          </a:extLst>
        </xdr:cNvPr>
        <xdr:cNvPicPr/>
      </xdr:nvPicPr>
      <xdr:blipFill>
        <a:blip xmlns:r="http://schemas.openxmlformats.org/officeDocument/2006/relationships" r:embed="rId1"/>
        <a:stretch/>
      </xdr:blipFill>
      <xdr:spPr>
        <a:xfrm>
          <a:off x="0" y="47520"/>
          <a:ext cx="1621800" cy="506160"/>
        </a:xfrm>
        <a:prstGeom prst="rect">
          <a:avLst/>
        </a:prstGeom>
        <a:ln w="0">
          <a:noFill/>
        </a:ln>
      </xdr:spPr>
    </xdr:pic>
    <xdr:clientData/>
  </xdr:twoCellAnchor>
  <xdr:twoCellAnchor editAs="oneCell">
    <xdr:from>
      <xdr:col>2</xdr:col>
      <xdr:colOff>478080</xdr:colOff>
      <xdr:row>0</xdr:row>
      <xdr:rowOff>187200</xdr:rowOff>
    </xdr:from>
    <xdr:to>
      <xdr:col>2</xdr:col>
      <xdr:colOff>673560</xdr:colOff>
      <xdr:row>2</xdr:row>
      <xdr:rowOff>54000</xdr:rowOff>
    </xdr:to>
    <xdr:pic>
      <xdr:nvPicPr>
        <xdr:cNvPr id="17" name="Picture 3">
          <a:extLst>
            <a:ext uri="{FF2B5EF4-FFF2-40B4-BE49-F238E27FC236}">
              <a16:creationId xmlns:a16="http://schemas.microsoft.com/office/drawing/2014/main" id="{00000000-0008-0000-0900-000011000000}"/>
            </a:ext>
          </a:extLst>
        </xdr:cNvPr>
        <xdr:cNvPicPr/>
      </xdr:nvPicPr>
      <xdr:blipFill>
        <a:blip xmlns:r="http://schemas.openxmlformats.org/officeDocument/2006/relationships" r:embed="rId2"/>
        <a:srcRect l="23272" t="16066" r="23174" b="16066"/>
        <a:stretch/>
      </xdr:blipFill>
      <xdr:spPr>
        <a:xfrm>
          <a:off x="2205360" y="187200"/>
          <a:ext cx="195480" cy="2476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56160</xdr:colOff>
      <xdr:row>0</xdr:row>
      <xdr:rowOff>145800</xdr:rowOff>
    </xdr:from>
    <xdr:to>
      <xdr:col>2</xdr:col>
      <xdr:colOff>877680</xdr:colOff>
      <xdr:row>3</xdr:row>
      <xdr:rowOff>80640</xdr:rowOff>
    </xdr:to>
    <xdr:pic>
      <xdr:nvPicPr>
        <xdr:cNvPr id="6" name="Picture 1">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1"/>
        <a:stretch/>
      </xdr:blipFill>
      <xdr:spPr>
        <a:xfrm>
          <a:off x="56160" y="145800"/>
          <a:ext cx="1755000" cy="515880"/>
        </a:xfrm>
        <a:prstGeom prst="rect">
          <a:avLst/>
        </a:prstGeom>
        <a:ln w="0">
          <a:noFill/>
        </a:ln>
      </xdr:spPr>
    </xdr:pic>
    <xdr:clientData/>
  </xdr:twoCellAnchor>
  <xdr:twoCellAnchor editAs="oneCell">
    <xdr:from>
      <xdr:col>2</xdr:col>
      <xdr:colOff>1022760</xdr:colOff>
      <xdr:row>1</xdr:row>
      <xdr:rowOff>94680</xdr:rowOff>
    </xdr:from>
    <xdr:to>
      <xdr:col>2</xdr:col>
      <xdr:colOff>1218240</xdr:colOff>
      <xdr:row>2</xdr:row>
      <xdr:rowOff>151920</xdr:rowOff>
    </xdr:to>
    <xdr:pic>
      <xdr:nvPicPr>
        <xdr:cNvPr id="7" name="Picture 3">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2"/>
        <a:srcRect l="23272" t="16066" r="23174" b="16066"/>
        <a:stretch/>
      </xdr:blipFill>
      <xdr:spPr>
        <a:xfrm>
          <a:off x="1956240" y="285120"/>
          <a:ext cx="195480" cy="25740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24840</xdr:rowOff>
    </xdr:from>
    <xdr:to>
      <xdr:col>1</xdr:col>
      <xdr:colOff>742875</xdr:colOff>
      <xdr:row>2</xdr:row>
      <xdr:rowOff>173160</xdr:rowOff>
    </xdr:to>
    <xdr:pic>
      <xdr:nvPicPr>
        <xdr:cNvPr id="8" name="Picture 1">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1"/>
        <a:stretch/>
      </xdr:blipFill>
      <xdr:spPr>
        <a:xfrm>
          <a:off x="0" y="24840"/>
          <a:ext cx="1619280" cy="510120"/>
        </a:xfrm>
        <a:prstGeom prst="rect">
          <a:avLst/>
        </a:prstGeom>
        <a:ln w="0">
          <a:noFill/>
        </a:ln>
      </xdr:spPr>
    </xdr:pic>
    <xdr:clientData/>
  </xdr:twoCellAnchor>
  <xdr:twoCellAnchor editAs="oneCell">
    <xdr:from>
      <xdr:col>2</xdr:col>
      <xdr:colOff>480600</xdr:colOff>
      <xdr:row>0</xdr:row>
      <xdr:rowOff>164160</xdr:rowOff>
    </xdr:from>
    <xdr:to>
      <xdr:col>2</xdr:col>
      <xdr:colOff>675000</xdr:colOff>
      <xdr:row>2</xdr:row>
      <xdr:rowOff>54000</xdr:rowOff>
    </xdr:to>
    <xdr:pic>
      <xdr:nvPicPr>
        <xdr:cNvPr id="9" name="Picture 3">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2"/>
        <a:srcRect l="23272" t="16066" r="23174" b="16066"/>
        <a:stretch/>
      </xdr:blipFill>
      <xdr:spPr>
        <a:xfrm>
          <a:off x="2214000" y="164160"/>
          <a:ext cx="194400" cy="251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56160</xdr:colOff>
      <xdr:row>0</xdr:row>
      <xdr:rowOff>145800</xdr:rowOff>
    </xdr:from>
    <xdr:to>
      <xdr:col>2</xdr:col>
      <xdr:colOff>839580</xdr:colOff>
      <xdr:row>3</xdr:row>
      <xdr:rowOff>80640</xdr:rowOff>
    </xdr:to>
    <xdr:pic>
      <xdr:nvPicPr>
        <xdr:cNvPr id="2" name="Picture 1">
          <a:extLst>
            <a:ext uri="{FF2B5EF4-FFF2-40B4-BE49-F238E27FC236}">
              <a16:creationId xmlns:a16="http://schemas.microsoft.com/office/drawing/2014/main" id="{90B482E4-EC1A-4956-9186-6BC2D3BF8ED0}"/>
            </a:ext>
          </a:extLst>
        </xdr:cNvPr>
        <xdr:cNvPicPr/>
      </xdr:nvPicPr>
      <xdr:blipFill>
        <a:blip xmlns:r="http://schemas.openxmlformats.org/officeDocument/2006/relationships" r:embed="rId1"/>
        <a:stretch/>
      </xdr:blipFill>
      <xdr:spPr>
        <a:xfrm>
          <a:off x="56160" y="145800"/>
          <a:ext cx="1621620" cy="515865"/>
        </a:xfrm>
        <a:prstGeom prst="rect">
          <a:avLst/>
        </a:prstGeom>
        <a:ln w="0">
          <a:noFill/>
        </a:ln>
      </xdr:spPr>
    </xdr:pic>
    <xdr:clientData/>
  </xdr:twoCellAnchor>
  <xdr:twoCellAnchor editAs="oneCell">
    <xdr:from>
      <xdr:col>2</xdr:col>
      <xdr:colOff>1022760</xdr:colOff>
      <xdr:row>1</xdr:row>
      <xdr:rowOff>94680</xdr:rowOff>
    </xdr:from>
    <xdr:to>
      <xdr:col>2</xdr:col>
      <xdr:colOff>1218240</xdr:colOff>
      <xdr:row>2</xdr:row>
      <xdr:rowOff>151920</xdr:rowOff>
    </xdr:to>
    <xdr:pic>
      <xdr:nvPicPr>
        <xdr:cNvPr id="3" name="Picture 3">
          <a:extLst>
            <a:ext uri="{FF2B5EF4-FFF2-40B4-BE49-F238E27FC236}">
              <a16:creationId xmlns:a16="http://schemas.microsoft.com/office/drawing/2014/main" id="{C3BB8B00-17DB-412B-817E-30B4A10F1B87}"/>
            </a:ext>
            <a:ext uri="{147F2762-F138-4A5C-976F-8EAC2B608ADB}">
              <a16:predDERef xmlns:a16="http://schemas.microsoft.com/office/drawing/2014/main" pred="{90B482E4-EC1A-4956-9186-6BC2D3BF8ED0}"/>
            </a:ext>
          </a:extLst>
        </xdr:cNvPr>
        <xdr:cNvPicPr/>
      </xdr:nvPicPr>
      <xdr:blipFill>
        <a:blip xmlns:r="http://schemas.openxmlformats.org/officeDocument/2006/relationships" r:embed="rId2"/>
        <a:srcRect l="23272" t="16066" r="23174" b="16066"/>
        <a:stretch/>
      </xdr:blipFill>
      <xdr:spPr>
        <a:xfrm>
          <a:off x="1860960" y="285180"/>
          <a:ext cx="195480" cy="257265"/>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826560</xdr:colOff>
      <xdr:row>2</xdr:row>
      <xdr:rowOff>122760</xdr:rowOff>
    </xdr:to>
    <xdr:pic>
      <xdr:nvPicPr>
        <xdr:cNvPr id="20" name="Picture 1">
          <a:extLst>
            <a:ext uri="{FF2B5EF4-FFF2-40B4-BE49-F238E27FC236}">
              <a16:creationId xmlns:a16="http://schemas.microsoft.com/office/drawing/2014/main" id="{00000000-0008-0000-0E00-000014000000}"/>
            </a:ext>
          </a:extLst>
        </xdr:cNvPr>
        <xdr:cNvPicPr/>
      </xdr:nvPicPr>
      <xdr:blipFill>
        <a:blip xmlns:r="http://schemas.openxmlformats.org/officeDocument/2006/relationships" r:embed="rId1"/>
        <a:stretch/>
      </xdr:blipFill>
      <xdr:spPr>
        <a:xfrm>
          <a:off x="0" y="0"/>
          <a:ext cx="1760040" cy="494280"/>
        </a:xfrm>
        <a:prstGeom prst="rect">
          <a:avLst/>
        </a:prstGeom>
        <a:ln w="0">
          <a:noFill/>
        </a:ln>
      </xdr:spPr>
    </xdr:pic>
    <xdr:clientData/>
  </xdr:twoCellAnchor>
  <xdr:twoCellAnchor editAs="oneCell">
    <xdr:from>
      <xdr:col>0</xdr:col>
      <xdr:colOff>54360</xdr:colOff>
      <xdr:row>2</xdr:row>
      <xdr:rowOff>45720</xdr:rowOff>
    </xdr:from>
    <xdr:to>
      <xdr:col>1</xdr:col>
      <xdr:colOff>312120</xdr:colOff>
      <xdr:row>3</xdr:row>
      <xdr:rowOff>85680</xdr:rowOff>
    </xdr:to>
    <xdr:pic>
      <xdr:nvPicPr>
        <xdr:cNvPr id="21" name="Picture 2">
          <a:extLst>
            <a:ext uri="{FF2B5EF4-FFF2-40B4-BE49-F238E27FC236}">
              <a16:creationId xmlns:a16="http://schemas.microsoft.com/office/drawing/2014/main" id="{00000000-0008-0000-0E00-000015000000}"/>
            </a:ext>
          </a:extLst>
        </xdr:cNvPr>
        <xdr:cNvPicPr/>
      </xdr:nvPicPr>
      <xdr:blipFill>
        <a:blip xmlns:r="http://schemas.openxmlformats.org/officeDocument/2006/relationships" r:embed="rId2"/>
        <a:stretch/>
      </xdr:blipFill>
      <xdr:spPr>
        <a:xfrm>
          <a:off x="54360" y="417240"/>
          <a:ext cx="435600" cy="221040"/>
        </a:xfrm>
        <a:prstGeom prst="rect">
          <a:avLst/>
        </a:prstGeom>
        <a:ln w="0">
          <a:noFill/>
        </a:ln>
      </xdr:spPr>
    </xdr:pic>
    <xdr:clientData/>
  </xdr:twoCellAnchor>
  <xdr:twoCellAnchor editAs="oneCell">
    <xdr:from>
      <xdr:col>2</xdr:col>
      <xdr:colOff>574920</xdr:colOff>
      <xdr:row>2</xdr:row>
      <xdr:rowOff>16200</xdr:rowOff>
    </xdr:from>
    <xdr:to>
      <xdr:col>2</xdr:col>
      <xdr:colOff>770400</xdr:colOff>
      <xdr:row>3</xdr:row>
      <xdr:rowOff>74160</xdr:rowOff>
    </xdr:to>
    <xdr:pic>
      <xdr:nvPicPr>
        <xdr:cNvPr id="22" name="Picture 3">
          <a:extLst>
            <a:ext uri="{FF2B5EF4-FFF2-40B4-BE49-F238E27FC236}">
              <a16:creationId xmlns:a16="http://schemas.microsoft.com/office/drawing/2014/main" id="{00000000-0008-0000-0E00-000016000000}"/>
            </a:ext>
          </a:extLst>
        </xdr:cNvPr>
        <xdr:cNvPicPr/>
      </xdr:nvPicPr>
      <xdr:blipFill>
        <a:blip xmlns:r="http://schemas.openxmlformats.org/officeDocument/2006/relationships" r:embed="rId3"/>
        <a:srcRect l="23272" t="16066" r="23174" b="16066"/>
        <a:stretch/>
      </xdr:blipFill>
      <xdr:spPr>
        <a:xfrm>
          <a:off x="1508400" y="387720"/>
          <a:ext cx="195480" cy="2390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1218600</xdr:colOff>
      <xdr:row>2</xdr:row>
      <xdr:rowOff>122760</xdr:rowOff>
    </xdr:to>
    <xdr:pic>
      <xdr:nvPicPr>
        <xdr:cNvPr id="23" name="Picture 1">
          <a:extLst>
            <a:ext uri="{FF2B5EF4-FFF2-40B4-BE49-F238E27FC236}">
              <a16:creationId xmlns:a16="http://schemas.microsoft.com/office/drawing/2014/main" id="{00000000-0008-0000-0F00-000017000000}"/>
            </a:ext>
          </a:extLst>
        </xdr:cNvPr>
        <xdr:cNvPicPr/>
      </xdr:nvPicPr>
      <xdr:blipFill>
        <a:blip xmlns:r="http://schemas.openxmlformats.org/officeDocument/2006/relationships" r:embed="rId1"/>
        <a:stretch/>
      </xdr:blipFill>
      <xdr:spPr>
        <a:xfrm>
          <a:off x="0" y="0"/>
          <a:ext cx="1719000" cy="494280"/>
        </a:xfrm>
        <a:prstGeom prst="rect">
          <a:avLst/>
        </a:prstGeom>
        <a:ln w="0">
          <a:noFill/>
        </a:ln>
      </xdr:spPr>
    </xdr:pic>
    <xdr:clientData/>
  </xdr:twoCellAnchor>
  <xdr:twoCellAnchor editAs="oneCell">
    <xdr:from>
      <xdr:col>0</xdr:col>
      <xdr:colOff>54360</xdr:colOff>
      <xdr:row>2</xdr:row>
      <xdr:rowOff>45720</xdr:rowOff>
    </xdr:from>
    <xdr:to>
      <xdr:col>2</xdr:col>
      <xdr:colOff>20880</xdr:colOff>
      <xdr:row>3</xdr:row>
      <xdr:rowOff>85680</xdr:rowOff>
    </xdr:to>
    <xdr:pic>
      <xdr:nvPicPr>
        <xdr:cNvPr id="24" name="Picture 2">
          <a:extLst>
            <a:ext uri="{FF2B5EF4-FFF2-40B4-BE49-F238E27FC236}">
              <a16:creationId xmlns:a16="http://schemas.microsoft.com/office/drawing/2014/main" id="{00000000-0008-0000-0F00-000018000000}"/>
            </a:ext>
          </a:extLst>
        </xdr:cNvPr>
        <xdr:cNvPicPr/>
      </xdr:nvPicPr>
      <xdr:blipFill>
        <a:blip xmlns:r="http://schemas.openxmlformats.org/officeDocument/2006/relationships" r:embed="rId2"/>
        <a:stretch/>
      </xdr:blipFill>
      <xdr:spPr>
        <a:xfrm>
          <a:off x="54360" y="417240"/>
          <a:ext cx="466920" cy="221040"/>
        </a:xfrm>
        <a:prstGeom prst="rect">
          <a:avLst/>
        </a:prstGeom>
        <a:ln w="0">
          <a:noFill/>
        </a:ln>
      </xdr:spPr>
    </xdr:pic>
    <xdr:clientData/>
  </xdr:twoCellAnchor>
  <xdr:twoCellAnchor editAs="oneCell">
    <xdr:from>
      <xdr:col>2</xdr:col>
      <xdr:colOff>574920</xdr:colOff>
      <xdr:row>2</xdr:row>
      <xdr:rowOff>16200</xdr:rowOff>
    </xdr:from>
    <xdr:to>
      <xdr:col>2</xdr:col>
      <xdr:colOff>770400</xdr:colOff>
      <xdr:row>3</xdr:row>
      <xdr:rowOff>74160</xdr:rowOff>
    </xdr:to>
    <xdr:pic>
      <xdr:nvPicPr>
        <xdr:cNvPr id="25" name="Picture 3">
          <a:extLst>
            <a:ext uri="{FF2B5EF4-FFF2-40B4-BE49-F238E27FC236}">
              <a16:creationId xmlns:a16="http://schemas.microsoft.com/office/drawing/2014/main" id="{00000000-0008-0000-0F00-000019000000}"/>
            </a:ext>
          </a:extLst>
        </xdr:cNvPr>
        <xdr:cNvPicPr/>
      </xdr:nvPicPr>
      <xdr:blipFill>
        <a:blip xmlns:r="http://schemas.openxmlformats.org/officeDocument/2006/relationships" r:embed="rId3"/>
        <a:srcRect l="23272" t="16066" r="23174" b="16066"/>
        <a:stretch/>
      </xdr:blipFill>
      <xdr:spPr>
        <a:xfrm>
          <a:off x="1075320" y="387720"/>
          <a:ext cx="195480" cy="23904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113400</xdr:rowOff>
    </xdr:from>
    <xdr:to>
      <xdr:col>0</xdr:col>
      <xdr:colOff>1621800</xdr:colOff>
      <xdr:row>0</xdr:row>
      <xdr:rowOff>619560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13400"/>
          <a:ext cx="1621800" cy="506160"/>
        </a:xfrm>
        <a:prstGeom prst="rect">
          <a:avLst/>
        </a:prstGeom>
        <a:ln w="0">
          <a:noFill/>
        </a:ln>
      </xdr:spPr>
    </xdr:pic>
    <xdr:clientData/>
  </xdr:twoCellAnchor>
  <xdr:twoCellAnchor editAs="oneCell">
    <xdr:from>
      <xdr:col>0</xdr:col>
      <xdr:colOff>1773360</xdr:colOff>
      <xdr:row>0</xdr:row>
      <xdr:rowOff>252720</xdr:rowOff>
    </xdr:from>
    <xdr:to>
      <xdr:col>0</xdr:col>
      <xdr:colOff>1968840</xdr:colOff>
      <xdr:row>0</xdr:row>
      <xdr:rowOff>500400</xdr:rowOff>
    </xdr:to>
    <xdr:pic>
      <xdr:nvPicPr>
        <xdr:cNvPr id="3" name="Picture 3">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rcRect l="23272" t="16066" r="23174" b="16066"/>
        <a:stretch/>
      </xdr:blipFill>
      <xdr:spPr>
        <a:xfrm>
          <a:off x="1773360" y="252720"/>
          <a:ext cx="195480" cy="247680"/>
        </a:xfrm>
        <a:prstGeom prst="rect">
          <a:avLst/>
        </a:prstGeom>
        <a:ln w="0">
          <a:noFill/>
        </a:ln>
      </xdr:spPr>
    </xdr:pic>
    <xdr:clientData/>
  </xdr:twoCellAnchor>
</xdr:wsDr>
</file>

<file path=xl/persons/person.xml><?xml version="1.0" encoding="utf-8"?>
<personList xmlns="http://schemas.microsoft.com/office/spreadsheetml/2018/threadedcomments" xmlns:x="http://schemas.openxmlformats.org/spreadsheetml/2006/main">
  <person displayName="Bárbara Maria Barreto Fonseca C. César" id="{754211B9-5274-4079-AA13-A51548C6DBB0}" userId="S::b166242@m.unicamp.br::1c0ec40a-33c7-42a1-a017-0a5b3a4e8932"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https://www.bing.com/financeapi/forcetrigger?t=a1u3rw&amp;q=XNAS%3aGOOGL&amp;form=skydnc</v>
    <v>Learn more on Bing</v>
  </rv>
  <rv s="1">
    <v>en-US</v>
    <v>a1u3rw</v>
    <v>268435456</v>
    <v>1</v>
    <v>Powered by Refinitiv</v>
    <v>0</v>
    <v>ALPHABET INC. (XNAS:GOOGL)</v>
    <v>2</v>
    <v>3</v>
    <v>Finance</v>
    <v>4</v>
    <v>408.61</v>
    <v>196.595</v>
    <v>1.2193000000000001</v>
    <v>2.82</v>
    <v>-3.2419999999999997E-4</v>
    <v>8.2089999999999993E-3</v>
    <v>-0.1123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347.93</v>
    <v>Software &amp; IT Services</v>
    <v>Stock</v>
    <v>46247.999953471874</v>
    <v>0</v>
    <v>343.76</v>
    <v>4235982800000</v>
    <v>ALPHABET INC.</v>
    <v>ALPHABET INC.</v>
    <v>345.77</v>
    <v>17.237300000000001</v>
    <v>343.54</v>
    <v>346.36</v>
    <v>346.24770000000001</v>
    <v>12230000000</v>
    <v>GOOGL</v>
    <v>ALPHABET INC. (XNAS:GOOGL)</v>
    <v>17866072</v>
    <v>30669574</v>
    <v>2015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7" formatCode="dd/mm/yyyy\ hh:mm"/>
    </x:dxf>
    <x:dxf>
      <x:numFmt numFmtId="2" formatCode="0.00"/>
    </x:dxf>
    <x:dxf>
      <x:numFmt numFmtId="1" formatCode="0"/>
    </x:dxf>
    <x:dxf>
      <x:numFmt numFmtId="0" formatCode="General"/>
    </x:dxf>
  </dxfs>
  <richProperties>
    <rPr n="NumberFormat" t="s"/>
    <rPr n="IsTitleField" t="b"/>
  </richProperties>
  <richStyles>
    <rSty dxfid="6">
      <rpv i="0">_([$$-en-US]* #,##0.00_);_([$$-en-US]* (#,##0.00);_([$$-en-US]* "-"??_);_(@_)</rpv>
    </rSty>
    <rSty dxfid="0">
      <rpv i="0">#,##0.00</rpv>
    </rSty>
    <rSty>
      <rpv i="1">1</rpv>
    </rSty>
    <rSty dxfid="1">
      <rpv i="0">#,##0</rpv>
    </rSty>
    <rSty dxfid="2"/>
    <rSty dxfid="6">
      <rpv i="0">_([$$-en-US]* #,##0_);_([$$-en-US]* (#,##0);_([$$-en-US]* "-"_);_(@_)</rpv>
    </rSty>
    <rSty dxfid="3"/>
    <rSty dxfid="5">
      <rpv i="0">0</rpv>
    </rSty>
    <rSty dxfid="4">
      <rpv i="0">0.00</rpv>
    </rSty>
  </richStyles>
</richStyleShee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1">
      <a:majorFont>
        <a:latin typeface="Avenir Next LT Pro"/>
        <a:ea typeface=""/>
        <a:cs typeface=""/>
      </a:majorFont>
      <a:minorFont>
        <a:latin typeface="Aptos"/>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22" dT="2026-08-07T00:57:10.24" personId="{754211B9-5274-4079-AA13-A51548C6DBB0}" id="{B39C12DF-E4BE-4FFD-A40D-0CA39D26F704}">
    <text>Aqui ele fez mediana de trimestres</text>
  </threadedComment>
  <threadedComment ref="AB22" dT="2026-08-07T00:57:31.92" personId="{754211B9-5274-4079-AA13-A51548C6DBB0}" id="{C60454EF-FC89-4B55-8D5E-D0D6003EBA68}">
    <text>Aqui ele fez mediana de ANOS (não entendi pq)</text>
  </threadedComment>
  <threadedComment ref="AA23" dT="2026-08-07T01:00:59.60" personId="{754211B9-5274-4079-AA13-A51548C6DBB0}" id="{E811BCC0-E3D7-4407-89CF-F0993CB89814}">
    <text>Nessa linha ele copiou as fórmulas da linha de cima, tendi nada tmb.</text>
  </threadedComment>
</ThreadedComments>
</file>

<file path=xl/threadedComments/threadedComment2.xml><?xml version="1.0" encoding="utf-8"?>
<ThreadedComments xmlns="http://schemas.microsoft.com/office/spreadsheetml/2018/threadedcomments" xmlns:x="http://schemas.openxmlformats.org/spreadsheetml/2006/main">
  <threadedComment ref="Z13" dT="2026-08-06T22:49:59.14" personId="{754211B9-5274-4079-AA13-A51548C6DBB0}" id="{9CB4F33C-B5B7-419A-8F92-E2E7B072AA2A}">
    <text>Aqui aparentemente a projeção divulgada pela própria empresa é de 180Mn, então tem q estimar pra dar próximo disso.</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hyperlink" Target="https://www.statista.com/statistics/664840/average-market-risk-premium-usa/"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finance.yahoo.com/quote/%5ETNX/" TargetMode="External"/><Relationship Id="rId5" Type="http://schemas.openxmlformats.org/officeDocument/2006/relationships/drawing" Target="../drawings/drawing7.xml"/><Relationship Id="rId4"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0.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C1B23"/>
  </sheetPr>
  <dimension ref="B1:AN68"/>
  <sheetViews>
    <sheetView showGridLines="0" zoomScaleNormal="100" workbookViewId="0">
      <selection activeCell="D11" sqref="D11"/>
    </sheetView>
  </sheetViews>
  <sheetFormatPr defaultColWidth="9.25" defaultRowHeight="14.25"/>
  <cols>
    <col min="2" max="2" width="21.75" customWidth="1"/>
    <col min="3" max="3" width="8.25" customWidth="1"/>
    <col min="4" max="11" width="11.25" customWidth="1"/>
  </cols>
  <sheetData>
    <row r="1" spans="2:21" ht="14.25" customHeight="1"/>
    <row r="2" spans="2:21" ht="15.75" customHeight="1">
      <c r="B2" s="49" t="s">
        <v>0</v>
      </c>
      <c r="C2" s="50">
        <v>2</v>
      </c>
      <c r="D2" s="51"/>
      <c r="E2" s="51" t="s">
        <v>1</v>
      </c>
      <c r="F2" s="51"/>
      <c r="G2" s="51"/>
      <c r="H2" s="51"/>
      <c r="I2" s="51"/>
      <c r="J2" s="51"/>
      <c r="K2" s="51"/>
    </row>
    <row r="3" spans="2:21" ht="15" customHeight="1">
      <c r="B3" s="52" t="str">
        <f>IF(C2=2,"Base Case",IF(C2=1,"Bear Case","Bull Case"))</f>
        <v>Base Case</v>
      </c>
      <c r="C3" s="53"/>
      <c r="D3" s="51"/>
      <c r="E3" s="51"/>
      <c r="F3" s="51"/>
      <c r="G3" s="51"/>
      <c r="H3" s="51"/>
      <c r="I3" s="51"/>
      <c r="J3" s="51"/>
      <c r="K3" s="51"/>
    </row>
    <row r="4" spans="2:21" ht="15.75" customHeight="1">
      <c r="B4" s="51"/>
      <c r="C4" s="51"/>
      <c r="D4" s="51"/>
      <c r="E4" s="51"/>
      <c r="F4" s="51"/>
      <c r="G4" s="51"/>
      <c r="H4" s="51"/>
      <c r="I4" s="51"/>
      <c r="J4" s="51"/>
      <c r="K4" s="51"/>
    </row>
    <row r="5" spans="2:21" ht="16.5" customHeight="1">
      <c r="B5" s="54"/>
      <c r="C5" s="55"/>
      <c r="D5" s="738" t="s">
        <v>2</v>
      </c>
      <c r="E5" s="738"/>
      <c r="F5" s="738"/>
      <c r="G5" s="738"/>
      <c r="H5" s="738"/>
      <c r="I5" s="738"/>
      <c r="J5" s="738"/>
      <c r="K5" s="738"/>
      <c r="M5" s="683" t="s">
        <v>3</v>
      </c>
      <c r="O5" s="684" t="s">
        <v>4</v>
      </c>
      <c r="P5" s="685" t="s">
        <v>5</v>
      </c>
      <c r="R5" s="686" t="s">
        <v>6</v>
      </c>
      <c r="S5" s="687"/>
    </row>
    <row r="6" spans="2:21" ht="15.75" customHeight="1">
      <c r="B6" s="56"/>
      <c r="C6" s="51"/>
      <c r="D6" s="57" t="s">
        <v>7</v>
      </c>
      <c r="E6" s="57" t="s">
        <v>8</v>
      </c>
      <c r="F6" s="57" t="s">
        <v>9</v>
      </c>
      <c r="G6" s="57">
        <f>2027</f>
        <v>2027</v>
      </c>
      <c r="H6" s="57">
        <f>G6+1</f>
        <v>2028</v>
      </c>
      <c r="I6" s="57">
        <f>H6+1</f>
        <v>2029</v>
      </c>
      <c r="J6" s="57">
        <v>2030</v>
      </c>
      <c r="K6" s="58">
        <v>2031</v>
      </c>
      <c r="M6" s="688">
        <f>M7-1%</f>
        <v>3.4999999999999996E-2</v>
      </c>
      <c r="O6" s="689" t="s">
        <v>10</v>
      </c>
      <c r="P6" s="690">
        <f>AN22</f>
        <v>0.23222730850076059</v>
      </c>
      <c r="R6" s="691">
        <v>0.4</v>
      </c>
      <c r="S6" s="692" t="s">
        <v>11</v>
      </c>
    </row>
    <row r="7" spans="2:21" ht="15.75" customHeight="1">
      <c r="B7" s="56" t="s">
        <v>0</v>
      </c>
      <c r="C7" s="59">
        <f>C2</f>
        <v>2</v>
      </c>
      <c r="D7" s="51"/>
      <c r="E7" s="51"/>
      <c r="F7" s="51"/>
      <c r="G7" s="51"/>
      <c r="H7" s="51"/>
      <c r="I7" s="51"/>
      <c r="J7" s="51"/>
      <c r="K7" s="60"/>
      <c r="M7" s="693">
        <v>4.4999999999999998E-2</v>
      </c>
      <c r="O7" s="689" t="s">
        <v>12</v>
      </c>
      <c r="P7" s="690">
        <f>AN23</f>
        <v>0.17054933772103772</v>
      </c>
      <c r="R7" s="694">
        <v>0.25</v>
      </c>
      <c r="S7" s="695" t="s">
        <v>13</v>
      </c>
    </row>
    <row r="8" spans="2:21" ht="15" customHeight="1">
      <c r="B8" s="61" t="s">
        <v>13</v>
      </c>
      <c r="C8" s="62"/>
      <c r="D8" s="660">
        <f>D9*(1-$P$6*$R$6)</f>
        <v>0.13606636148995435</v>
      </c>
      <c r="E8" s="660">
        <f>E9*(1-$P$6*$R$6)</f>
        <v>0.13606636148995435</v>
      </c>
      <c r="F8" s="660">
        <f>F9*(1-$P$6*$R$6)</f>
        <v>0.13606636148995435</v>
      </c>
      <c r="G8" s="660">
        <f>G9*(1-$P$6*$R$6)</f>
        <v>0.18142181531993917</v>
      </c>
      <c r="H8" s="660">
        <f>H9*(1-$P$6*$R$6)</f>
        <v>0.15420854302194828</v>
      </c>
      <c r="I8" s="660">
        <f>I9*(1-$P$6*$R$6)</f>
        <v>0.12699527072395742</v>
      </c>
      <c r="J8" s="660">
        <f>J9*(1-$P$6*$R$6)</f>
        <v>0.10885308919196349</v>
      </c>
      <c r="K8" s="696">
        <f>K9*(1-$P$6*$R$6)</f>
        <v>9.0710907659969586E-2</v>
      </c>
      <c r="M8" s="697">
        <f>M7+0.5%</f>
        <v>4.9999999999999996E-2</v>
      </c>
      <c r="O8" s="689" t="s">
        <v>14</v>
      </c>
      <c r="P8" s="690">
        <f>AN24</f>
        <v>0.28996213018728173</v>
      </c>
    </row>
    <row r="9" spans="2:21" ht="15.75" customHeight="1">
      <c r="B9" s="61" t="s">
        <v>15</v>
      </c>
      <c r="C9" s="64"/>
      <c r="D9" s="698">
        <v>0.15</v>
      </c>
      <c r="E9" s="698">
        <v>0.15</v>
      </c>
      <c r="F9" s="698">
        <v>0.15</v>
      </c>
      <c r="G9" s="699">
        <v>0.2</v>
      </c>
      <c r="H9" s="699">
        <v>0.17</v>
      </c>
      <c r="I9" s="699">
        <v>0.14000000000000001</v>
      </c>
      <c r="J9" s="699">
        <v>0.12</v>
      </c>
      <c r="K9" s="700">
        <v>0.1</v>
      </c>
      <c r="M9" s="701">
        <f>CHOOSE($C$2,M6,M7,M8)</f>
        <v>4.4999999999999998E-2</v>
      </c>
      <c r="N9" s="702"/>
      <c r="O9" s="689" t="s">
        <v>16</v>
      </c>
      <c r="P9" s="690">
        <f>AN25</f>
        <v>0.34561101779771841</v>
      </c>
      <c r="Q9" s="703"/>
      <c r="R9" s="704" t="s">
        <v>17</v>
      </c>
      <c r="S9" s="703"/>
      <c r="T9" s="703"/>
      <c r="U9" s="703"/>
    </row>
    <row r="10" spans="2:21" ht="15.75" customHeight="1">
      <c r="B10" s="61" t="s">
        <v>11</v>
      </c>
      <c r="C10" s="65"/>
      <c r="D10" s="661">
        <f>D9*(1+$P$6*$R$10)</f>
        <v>0.16741704813755703</v>
      </c>
      <c r="E10" s="661">
        <f>E9*(1+$P$6*$R$10)</f>
        <v>0.16741704813755703</v>
      </c>
      <c r="F10" s="661">
        <f>F9*(1+$P$6*$R$10)</f>
        <v>0.16741704813755703</v>
      </c>
      <c r="G10" s="661">
        <f>G9*(1+$P$6*$R$10)</f>
        <v>0.22322273085007605</v>
      </c>
      <c r="H10" s="661">
        <f>H9*(1+$P$6*$R$10)</f>
        <v>0.18973932122256465</v>
      </c>
      <c r="I10" s="661">
        <f>I9*(1+$P$6*$R$10)</f>
        <v>0.15625591159505325</v>
      </c>
      <c r="J10" s="661">
        <f>J9*(1+$P$6*$R$10)</f>
        <v>0.13393363851004561</v>
      </c>
      <c r="K10" s="705">
        <f>K9*(1+$P$6*$R$10)</f>
        <v>0.11161136542503802</v>
      </c>
      <c r="O10" s="689" t="s">
        <v>18</v>
      </c>
      <c r="P10" s="706">
        <f>AM26</f>
        <v>1.3554431700462662E-2</v>
      </c>
      <c r="R10" s="707">
        <v>0.5</v>
      </c>
    </row>
    <row r="11" spans="2:21" ht="16.5" customHeight="1">
      <c r="B11" s="66" t="s">
        <v>19</v>
      </c>
      <c r="C11" s="67"/>
      <c r="D11" s="708">
        <f>CHOOSE($C$2,D8,D9,D10)</f>
        <v>0.15</v>
      </c>
      <c r="E11" s="708">
        <f>CHOOSE($C$2,E8,E9,E10)</f>
        <v>0.15</v>
      </c>
      <c r="F11" s="708">
        <f>CHOOSE($C$2,F8,F9,F10)</f>
        <v>0.15</v>
      </c>
      <c r="G11" s="708">
        <f>CHOOSE($C$2,G8,G9,G10)</f>
        <v>0.2</v>
      </c>
      <c r="H11" s="708">
        <f>CHOOSE($C$2,H8,H9,H10)</f>
        <v>0.17</v>
      </c>
      <c r="I11" s="708">
        <f>CHOOSE($C$2,I8,I9,I10)</f>
        <v>0.14000000000000001</v>
      </c>
      <c r="J11" s="708">
        <f>CHOOSE($C$2,J8,J9,J10)</f>
        <v>0.12</v>
      </c>
      <c r="K11" s="709">
        <f>CHOOSE($C$2,K8,K9,K10)</f>
        <v>0.1</v>
      </c>
      <c r="O11" s="689" t="s">
        <v>20</v>
      </c>
      <c r="P11" s="706">
        <f>AM27</f>
        <v>2.0254053125255706E-2</v>
      </c>
    </row>
    <row r="12" spans="2:21" ht="15.75" customHeight="1">
      <c r="B12" s="51"/>
      <c r="C12" s="51"/>
      <c r="D12" s="51"/>
      <c r="E12" s="51"/>
      <c r="F12" s="51"/>
      <c r="G12" s="51"/>
      <c r="H12" s="51"/>
      <c r="I12" s="51"/>
      <c r="J12" s="51"/>
      <c r="K12" s="51"/>
      <c r="O12" s="710" t="s">
        <v>21</v>
      </c>
      <c r="P12" s="711">
        <f>AM28</f>
        <v>6.7296354451016421E-2</v>
      </c>
    </row>
    <row r="13" spans="2:21" ht="16.5" customHeight="1">
      <c r="B13" s="54"/>
      <c r="C13" s="55"/>
      <c r="D13" s="737" t="s">
        <v>22</v>
      </c>
      <c r="E13" s="737"/>
      <c r="F13" s="737"/>
      <c r="G13" s="737"/>
      <c r="H13" s="737"/>
      <c r="I13" s="737"/>
      <c r="J13" s="737"/>
      <c r="K13" s="737"/>
    </row>
    <row r="14" spans="2:21" ht="15.75" customHeight="1">
      <c r="B14" s="56"/>
      <c r="C14" s="51"/>
      <c r="D14" s="57" t="s">
        <v>7</v>
      </c>
      <c r="E14" s="57" t="s">
        <v>8</v>
      </c>
      <c r="F14" s="57" t="s">
        <v>9</v>
      </c>
      <c r="G14" s="57">
        <f>2027</f>
        <v>2027</v>
      </c>
      <c r="H14" s="57">
        <f>G14+1</f>
        <v>2028</v>
      </c>
      <c r="I14" s="57">
        <f>H14+1</f>
        <v>2029</v>
      </c>
      <c r="J14" s="57">
        <v>2030</v>
      </c>
      <c r="K14" s="58">
        <v>2031</v>
      </c>
    </row>
    <row r="15" spans="2:21" ht="15.75" customHeight="1">
      <c r="B15" s="56" t="s">
        <v>0</v>
      </c>
      <c r="C15" s="59">
        <f>C2</f>
        <v>2</v>
      </c>
      <c r="D15" s="51"/>
      <c r="E15" s="51"/>
      <c r="F15" s="51"/>
      <c r="G15" s="51"/>
      <c r="H15" s="51"/>
      <c r="I15" s="51"/>
      <c r="J15" s="51"/>
      <c r="K15" s="60"/>
    </row>
    <row r="16" spans="2:21" ht="15" customHeight="1">
      <c r="B16" s="61" t="s">
        <v>13</v>
      </c>
      <c r="C16" s="62"/>
      <c r="D16" s="660">
        <f>D17*(1-$P$7*$R$10)</f>
        <v>8.2325279802553303E-2</v>
      </c>
      <c r="E16" s="660">
        <f>E17*(1-$P$7*$R$10)</f>
        <v>8.2325279802553303E-2</v>
      </c>
      <c r="F16" s="660">
        <f>F17*(1-$P$7*$R$10)</f>
        <v>8.2325279802553303E-2</v>
      </c>
      <c r="G16" s="660">
        <f>G17*(1-$P$7*$R$10)</f>
        <v>0.10976703973673774</v>
      </c>
      <c r="H16" s="660">
        <f>H17*(1-$P$7*$R$10)</f>
        <v>0.10061978642534293</v>
      </c>
      <c r="I16" s="660">
        <f>I17*(1-$P$7*$R$10)</f>
        <v>0.10061978642534293</v>
      </c>
      <c r="J16" s="660">
        <f>J17*(1-$P$7*$R$10)</f>
        <v>9.1472533113948123E-2</v>
      </c>
      <c r="K16" s="696">
        <f>K17*(1-$P$7*$R$10)</f>
        <v>8.2325279802553303E-2</v>
      </c>
    </row>
    <row r="17" spans="2:40" ht="15.75" customHeight="1">
      <c r="B17" s="61" t="s">
        <v>15</v>
      </c>
      <c r="C17" s="64"/>
      <c r="D17" s="698">
        <v>0.09</v>
      </c>
      <c r="E17" s="698">
        <v>0.09</v>
      </c>
      <c r="F17" s="698">
        <v>0.09</v>
      </c>
      <c r="G17" s="699">
        <v>0.12</v>
      </c>
      <c r="H17" s="699">
        <v>0.11</v>
      </c>
      <c r="I17" s="699">
        <v>0.11</v>
      </c>
      <c r="J17" s="699">
        <v>0.1</v>
      </c>
      <c r="K17" s="700">
        <v>0.09</v>
      </c>
      <c r="M17" s="63"/>
    </row>
    <row r="18" spans="2:40" ht="15.75" customHeight="1">
      <c r="B18" s="61" t="s">
        <v>11</v>
      </c>
      <c r="C18" s="65"/>
      <c r="D18" s="661">
        <f>D17*(1+$P$7*$R$10)</f>
        <v>9.7674720197446691E-2</v>
      </c>
      <c r="E18" s="661">
        <f>E17*(1+$P$7*$R$10)</f>
        <v>9.7674720197446691E-2</v>
      </c>
      <c r="F18" s="661">
        <f>F17*(1+$P$7*$R$10)</f>
        <v>9.7674720197446691E-2</v>
      </c>
      <c r="G18" s="661">
        <f>G17*(1+$P$7*$R$10)</f>
        <v>0.13023296026326225</v>
      </c>
      <c r="H18" s="661">
        <f>H17*(1+$P$7*$R$10)</f>
        <v>0.11938021357465707</v>
      </c>
      <c r="I18" s="661">
        <f>I17*(1+$P$7*$R$10)</f>
        <v>0.11938021357465707</v>
      </c>
      <c r="J18" s="661">
        <f>J17*(1+$P$7*$R$10)</f>
        <v>0.10852746688605189</v>
      </c>
      <c r="K18" s="705">
        <f>K17*(1+$P$7*$R$10)</f>
        <v>9.7674720197446691E-2</v>
      </c>
    </row>
    <row r="19" spans="2:40" ht="16.5" customHeight="1">
      <c r="B19" s="66" t="s">
        <v>19</v>
      </c>
      <c r="C19" s="67"/>
      <c r="D19" s="708">
        <f>CHOOSE($C2,D16,D17,D18)</f>
        <v>0.09</v>
      </c>
      <c r="E19" s="708">
        <f>CHOOSE($C2,E16,E17,E18)</f>
        <v>0.09</v>
      </c>
      <c r="F19" s="708">
        <f>CHOOSE($C2,F16,F17,F18)</f>
        <v>0.09</v>
      </c>
      <c r="G19" s="708">
        <f>CHOOSE($C2,G16,G17,G18)</f>
        <v>0.12</v>
      </c>
      <c r="H19" s="708">
        <f>CHOOSE($C2,H16,H17,H18)</f>
        <v>0.11</v>
      </c>
      <c r="I19" s="708">
        <f>CHOOSE($C2,I16,I17,I18)</f>
        <v>0.11</v>
      </c>
      <c r="J19" s="708">
        <f>CHOOSE($C2,J16,J17,J18)</f>
        <v>0.1</v>
      </c>
      <c r="K19" s="709">
        <f>CHOOSE($C2,K16,K17,K18)</f>
        <v>0.09</v>
      </c>
    </row>
    <row r="20" spans="2:40" ht="15.75" customHeight="1">
      <c r="B20" s="51"/>
      <c r="C20" s="51"/>
      <c r="D20" s="51"/>
      <c r="E20" s="51"/>
      <c r="F20" s="51"/>
      <c r="G20" s="51"/>
      <c r="H20" s="51"/>
      <c r="I20" s="51"/>
      <c r="J20" s="51"/>
      <c r="K20" s="51"/>
      <c r="X20" s="712" t="s">
        <v>23</v>
      </c>
      <c r="Y20" s="713"/>
      <c r="Z20" s="713"/>
      <c r="AA20" s="713"/>
      <c r="AB20" s="713"/>
      <c r="AC20" s="713"/>
      <c r="AD20" s="713"/>
      <c r="AE20" s="713"/>
      <c r="AF20" s="713"/>
      <c r="AG20" s="713"/>
      <c r="AH20" s="713"/>
      <c r="AI20" s="713"/>
      <c r="AJ20" s="713"/>
      <c r="AK20" s="713"/>
      <c r="AL20" s="713"/>
      <c r="AM20" s="713"/>
      <c r="AN20" s="713"/>
    </row>
    <row r="21" spans="2:40" ht="16.5" customHeight="1">
      <c r="B21" s="54"/>
      <c r="C21" s="55"/>
      <c r="D21" s="737" t="s">
        <v>24</v>
      </c>
      <c r="E21" s="737"/>
      <c r="F21" s="737"/>
      <c r="G21" s="737"/>
      <c r="H21" s="737"/>
      <c r="I21" s="737"/>
      <c r="J21" s="737"/>
      <c r="K21" s="737"/>
      <c r="X21" s="714" t="s">
        <v>25</v>
      </c>
      <c r="Y21" s="715" t="s">
        <v>26</v>
      </c>
      <c r="Z21" s="715" t="s">
        <v>27</v>
      </c>
      <c r="AA21" s="715" t="s">
        <v>28</v>
      </c>
      <c r="AB21" s="715" t="s">
        <v>29</v>
      </c>
      <c r="AC21" s="715" t="s">
        <v>30</v>
      </c>
      <c r="AD21" s="715" t="s">
        <v>31</v>
      </c>
      <c r="AE21" s="715" t="s">
        <v>32</v>
      </c>
      <c r="AF21" s="715" t="s">
        <v>33</v>
      </c>
      <c r="AG21" s="715" t="s">
        <v>34</v>
      </c>
      <c r="AH21" s="715" t="s">
        <v>35</v>
      </c>
      <c r="AI21" s="715" t="s">
        <v>36</v>
      </c>
      <c r="AJ21" s="715" t="s">
        <v>37</v>
      </c>
      <c r="AK21" s="715" t="s">
        <v>38</v>
      </c>
      <c r="AL21" s="715" t="s">
        <v>39</v>
      </c>
      <c r="AM21" s="715" t="s">
        <v>40</v>
      </c>
      <c r="AN21" s="715" t="s">
        <v>41</v>
      </c>
    </row>
    <row r="22" spans="2:40" ht="15.75" customHeight="1">
      <c r="B22" s="56"/>
      <c r="C22" s="51"/>
      <c r="D22" s="57" t="s">
        <v>7</v>
      </c>
      <c r="E22" s="57" t="s">
        <v>8</v>
      </c>
      <c r="F22" s="57" t="s">
        <v>9</v>
      </c>
      <c r="G22" s="57">
        <f>2027</f>
        <v>2027</v>
      </c>
      <c r="H22" s="57">
        <f>G22+1</f>
        <v>2028</v>
      </c>
      <c r="I22" s="57">
        <f>H22+1</f>
        <v>2029</v>
      </c>
      <c r="J22" s="57">
        <v>2030</v>
      </c>
      <c r="K22" s="58">
        <v>2031</v>
      </c>
      <c r="X22" s="714" t="s">
        <v>10</v>
      </c>
      <c r="Y22" s="716">
        <f>'Build Up'!K8/'Build Up'!F8-1</f>
        <v>1.8703619566863505E-2</v>
      </c>
      <c r="Z22" s="716">
        <f>'Build Up'!L8/'Build Up'!G8-1</f>
        <v>4.7654157143208309E-2</v>
      </c>
      <c r="AA22" s="716">
        <f>'Build Up'!M8/'Build Up'!H8-1</f>
        <v>0.11348289031083225</v>
      </c>
      <c r="AB22" s="716">
        <f>'Build Up'!N8/'Build Up'!I8-1</f>
        <v>0.12712421368885551</v>
      </c>
      <c r="AC22" s="716">
        <f>'Build Up'!P8/'Build Up'!K8-1</f>
        <v>0.14363586808394668</v>
      </c>
      <c r="AD22" s="716">
        <f>'Build Up'!Q8/'Build Up'!L8-1</f>
        <v>0.13796096462419061</v>
      </c>
      <c r="AE22" s="716">
        <f>'Build Up'!R8/'Build Up'!M8-1</f>
        <v>0.12172352700676869</v>
      </c>
      <c r="AF22" s="716">
        <f>'Build Up'!S8/'Build Up'!N8-1</f>
        <v>0.12523948354852155</v>
      </c>
      <c r="AG22" s="716">
        <f>'Build Up'!U8/'Build Up'!P8-1</f>
        <v>9.8492070370049367E-2</v>
      </c>
      <c r="AH22" s="716">
        <f>'Build Up'!V8/'Build Up'!Q8-1</f>
        <v>0.11711228844132027</v>
      </c>
      <c r="AI22" s="716">
        <f>'Build Up'!W8/'Build Up'!R8-1</f>
        <v>0.14542877391920617</v>
      </c>
      <c r="AJ22" s="716">
        <f>'Build Up'!X8/'Build Up'!S8-1</f>
        <v>0.1672835622015767</v>
      </c>
      <c r="AK22" s="716">
        <f>'Build Up'!Z8/'Build Up'!U8-1</f>
        <v>0.19125478284880271</v>
      </c>
      <c r="AL22" s="716">
        <f>AVERAGE(Y22:AK22)</f>
        <v>0.11962278475031864</v>
      </c>
      <c r="AM22" s="716">
        <f>STDEVP(AD22:AK22)</f>
        <v>2.7779677337932327E-2</v>
      </c>
      <c r="AN22" s="717">
        <f>AM22/AL22</f>
        <v>0.23222730850076059</v>
      </c>
    </row>
    <row r="23" spans="2:40" ht="15.75" customHeight="1">
      <c r="B23" s="56" t="s">
        <v>0</v>
      </c>
      <c r="C23" s="59">
        <f>C2</f>
        <v>2</v>
      </c>
      <c r="D23" s="51"/>
      <c r="E23" s="51"/>
      <c r="F23" s="51"/>
      <c r="G23" s="51"/>
      <c r="H23" s="51"/>
      <c r="I23" s="51"/>
      <c r="J23" s="51"/>
      <c r="K23" s="60"/>
      <c r="X23" s="714" t="s">
        <v>12</v>
      </c>
      <c r="Y23" s="716">
        <f>'Build Up'!K11/'Build Up'!F11-1</f>
        <v>-2.5622361333527466E-2</v>
      </c>
      <c r="Z23" s="716">
        <f>'Build Up'!L11/'Build Up'!G11-1</f>
        <v>4.4277929155313256E-2</v>
      </c>
      <c r="AA23" s="716">
        <f>'Build Up'!M11/'Build Up'!H11-1</f>
        <v>0.12459340970159816</v>
      </c>
      <c r="AB23" s="716">
        <f>'Build Up'!N11/'Build Up'!I11-1</f>
        <v>0.15534346351877426</v>
      </c>
      <c r="AC23" s="716">
        <f>'Build Up'!P11/'Build Up'!K11-1</f>
        <v>0.20872553414014638</v>
      </c>
      <c r="AD23" s="716">
        <f>'Build Up'!Q11/'Build Up'!L11-1</f>
        <v>0.13020221787345077</v>
      </c>
      <c r="AE23" s="716">
        <f>'Build Up'!R11/'Build Up'!M11-1</f>
        <v>0.12185613682092544</v>
      </c>
      <c r="AF23" s="716">
        <f>'Build Up'!S11/'Build Up'!N11-1</f>
        <v>0.1383695652173913</v>
      </c>
      <c r="AG23" s="716">
        <f>'Build Up'!U11/'Build Up'!P11-1</f>
        <v>0.10346106304079106</v>
      </c>
      <c r="AH23" s="716">
        <f>'Build Up'!V11/'Build Up'!Q11-1</f>
        <v>0.1307861018123051</v>
      </c>
      <c r="AI23" s="716">
        <f>'Build Up'!W11/'Build Up'!R11-1</f>
        <v>0.15020737585472488</v>
      </c>
      <c r="AJ23" s="716">
        <f>'Build Up'!X11/'Build Up'!S11-1</f>
        <v>8.6890098348133327E-2</v>
      </c>
      <c r="AK23" s="716">
        <f>'Build Up'!Z11/'Build Up'!U11-1</f>
        <v>0.10709084798924606</v>
      </c>
      <c r="AL23" s="716">
        <f>AVERAGE(Y23:AK23)</f>
        <v>0.11355241401071328</v>
      </c>
      <c r="AM23" s="716">
        <f>STDEVP(AD23:AK23)</f>
        <v>1.9366289006152237E-2</v>
      </c>
      <c r="AN23" s="717">
        <f>AM23/AL23</f>
        <v>0.17054933772103772</v>
      </c>
    </row>
    <row r="24" spans="2:40" ht="15" customHeight="1">
      <c r="B24" s="61" t="s">
        <v>13</v>
      </c>
      <c r="C24" s="62"/>
      <c r="D24" s="660">
        <f>D25*(1-$P$8*$R$10)</f>
        <v>0.11970265088689029</v>
      </c>
      <c r="E24" s="660">
        <f>E25*(1-$P$8*$R$10)</f>
        <v>0.11970265088689029</v>
      </c>
      <c r="F24" s="660">
        <f>F25*(1-$P$8*$R$10)</f>
        <v>0.11970265088689029</v>
      </c>
      <c r="G24" s="660">
        <f>G25*(1-$P$8*$R$10)</f>
        <v>0.12825284023595387</v>
      </c>
      <c r="H24" s="660">
        <f>H25*(1-$P$8*$R$10)</f>
        <v>0.13680302958501747</v>
      </c>
      <c r="I24" s="660">
        <f>I25*(1-$P$8*$R$10)</f>
        <v>0.14535321893408107</v>
      </c>
      <c r="J24" s="660">
        <f>J25*(1-$P$8*$R$10)</f>
        <v>0.13680302958501747</v>
      </c>
      <c r="K24" s="696">
        <f>K25*(1-$P$8*$R$10)</f>
        <v>0.12825284023595387</v>
      </c>
      <c r="X24" s="714" t="s">
        <v>42</v>
      </c>
      <c r="Y24" s="716">
        <f>'Build Up'!K17/'Build Up'!F17-1</f>
        <v>8.8386433710174739E-2</v>
      </c>
      <c r="Z24" s="716">
        <f>'Build Up'!L17/'Build Up'!G17-1</f>
        <v>0.24248435830917137</v>
      </c>
      <c r="AA24" s="716">
        <f>'Build Up'!M17/'Build Up'!H17-1</f>
        <v>0.20942712110224804</v>
      </c>
      <c r="AB24" s="716">
        <f>'Build Up'!N17/'Build Up'!I17-1</f>
        <v>0.22714870395634379</v>
      </c>
      <c r="AC24" s="716">
        <f>'Build Up'!P17/'Build Up'!K17-1</f>
        <v>0.17887494941319293</v>
      </c>
      <c r="AD24" s="716">
        <f>'Build Up'!Q17/'Build Up'!L17-1</f>
        <v>0.14369933677229185</v>
      </c>
      <c r="AE24" s="716">
        <f>'Build Up'!R17/'Build Up'!M17-1</f>
        <v>0.2778510612783307</v>
      </c>
      <c r="AF24" s="716">
        <f>'Build Up'!S17/'Build Up'!N17-1</f>
        <v>7.772836761163604E-2</v>
      </c>
      <c r="AG24" s="716">
        <f>'Build Up'!U17/'Build Up'!P17-1</f>
        <v>0.18766449250486317</v>
      </c>
      <c r="AH24" s="716">
        <f>'Build Up'!V17/'Build Up'!Q17-1</f>
        <v>0.20307130584192445</v>
      </c>
      <c r="AI24" s="716">
        <f>'Build Up'!W17/'Build Up'!R17-1</f>
        <v>0.20777027027027017</v>
      </c>
      <c r="AJ24" s="716">
        <f>'Build Up'!X17/'Build Up'!S17-1</f>
        <v>0.1671967678156967</v>
      </c>
      <c r="AK24" s="716">
        <f>'Build Up'!Z17/'Build Up'!U17-1</f>
        <v>0.19317853357741588</v>
      </c>
      <c r="AL24" s="716">
        <f>AVERAGE(Y24:AK24)</f>
        <v>0.18496013093565844</v>
      </c>
      <c r="AM24" s="716">
        <f>STDEVP(AD24:AK24)</f>
        <v>5.3631433565822069E-2</v>
      </c>
      <c r="AN24" s="717">
        <f>AM24/AL24</f>
        <v>0.28996213018728173</v>
      </c>
    </row>
    <row r="25" spans="2:40" ht="15.75" customHeight="1">
      <c r="B25" s="61" t="s">
        <v>15</v>
      </c>
      <c r="C25" s="64"/>
      <c r="D25" s="698">
        <v>0.14000000000000001</v>
      </c>
      <c r="E25" s="698">
        <v>0.14000000000000001</v>
      </c>
      <c r="F25" s="698">
        <v>0.14000000000000001</v>
      </c>
      <c r="G25" s="699">
        <v>0.15</v>
      </c>
      <c r="H25" s="699">
        <v>0.16</v>
      </c>
      <c r="I25" s="699">
        <v>0.17</v>
      </c>
      <c r="J25" s="699">
        <v>0.16</v>
      </c>
      <c r="K25" s="700">
        <v>0.15</v>
      </c>
      <c r="M25" s="68"/>
      <c r="X25" s="714" t="s">
        <v>16</v>
      </c>
      <c r="Y25" s="716">
        <f>'Build Up'!K22/'Build Up'!F22-1</f>
        <v>0.28053599037965982</v>
      </c>
      <c r="Z25" s="716">
        <f>'Build Up'!L22/'Build Up'!G22-1</f>
        <v>0.2796367112810707</v>
      </c>
      <c r="AA25" s="716">
        <f>'Build Up'!M22/'Build Up'!H22-1</f>
        <v>0.22466511357018049</v>
      </c>
      <c r="AB25" s="716">
        <f>'Build Up'!N22/'Build Up'!I22-1</f>
        <v>0.25659603554340404</v>
      </c>
      <c r="AC25" s="716">
        <f>'Build Up'!P22/'Build Up'!K22-1</f>
        <v>0.28441105446740012</v>
      </c>
      <c r="AD25" s="716">
        <f>'Build Up'!Q22/'Build Up'!L22-1</f>
        <v>0.28838251774374291</v>
      </c>
      <c r="AE25" s="716">
        <f>'Build Up'!R22/'Build Up'!M22-1</f>
        <v>0.34978004993460954</v>
      </c>
      <c r="AF25" s="716">
        <f>'Build Up'!S22/'Build Up'!N22-1</f>
        <v>0.3005874673629243</v>
      </c>
      <c r="AG25" s="716">
        <f>'Build Up'!U22/'Build Up'!P22-1</f>
        <v>0.28055149362857734</v>
      </c>
      <c r="AH25" s="716">
        <f>'Build Up'!V22/'Build Up'!Q22-1</f>
        <v>0.31671015753358467</v>
      </c>
      <c r="AI25" s="716">
        <f>'Build Up'!W22/'Build Up'!R22-1</f>
        <v>0.33506562142165075</v>
      </c>
      <c r="AJ25" s="716">
        <f>'Build Up'!X22/'Build Up'!S22-1</f>
        <v>0.47754077791718941</v>
      </c>
      <c r="AK25" s="716">
        <f>'Build Up'!Z22/'Build Up'!U22-1</f>
        <v>0.63360522022838506</v>
      </c>
      <c r="AL25" s="716">
        <f>AVERAGE(Y25:AK25)</f>
        <v>0.33138986238556761</v>
      </c>
      <c r="AM25" s="716">
        <f>STDEVP(AD25:AK25)</f>
        <v>0.11453198762692186</v>
      </c>
      <c r="AN25" s="717">
        <f>AM25/AL25</f>
        <v>0.34561101779771841</v>
      </c>
    </row>
    <row r="26" spans="2:40" ht="15.75" customHeight="1">
      <c r="B26" s="61" t="s">
        <v>11</v>
      </c>
      <c r="C26" s="65"/>
      <c r="D26" s="661">
        <f>D25*(1+$P$8*$R$10)</f>
        <v>0.16029734911310975</v>
      </c>
      <c r="E26" s="661">
        <f>E25*(1+$P$8*$R$10)</f>
        <v>0.16029734911310975</v>
      </c>
      <c r="F26" s="661">
        <f>F25*(1+$P$8*$R$10)</f>
        <v>0.16029734911310975</v>
      </c>
      <c r="G26" s="661">
        <f>G25*(1+$P$8*$R$10)</f>
        <v>0.17174715976404614</v>
      </c>
      <c r="H26" s="661">
        <f>H25*(1+$P$8*$R$10)</f>
        <v>0.18319697041498256</v>
      </c>
      <c r="I26" s="661">
        <f>I25*(1+$P$8*$R$10)</f>
        <v>0.19464678106591898</v>
      </c>
      <c r="J26" s="661">
        <f>J25*(1+$P$8*$R$10)</f>
        <v>0.18319697041498256</v>
      </c>
      <c r="K26" s="705">
        <f>K25*(1+$P$8*$R$10)</f>
        <v>0.17174715976404614</v>
      </c>
      <c r="X26" s="714" t="s">
        <v>18</v>
      </c>
      <c r="Y26" s="716">
        <f>'Build Up'!K14/'Build Up'!F14-1</f>
        <v>-8.294592610716911E-2</v>
      </c>
      <c r="Z26" s="716">
        <f>'Build Up'!L14/'Build Up'!G14-1</f>
        <v>-4.9521733866085493E-2</v>
      </c>
      <c r="AA26" s="716">
        <f>'Build Up'!M14/'Build Up'!H14-1</f>
        <v>-2.5787601626016232E-2</v>
      </c>
      <c r="AB26" s="716">
        <f>'Build Up'!N14/'Build Up'!I14-1</f>
        <v>-2.1002949852507391E-2</v>
      </c>
      <c r="AC26" s="716">
        <f>'Build Up'!P14/'Build Up'!K14-1</f>
        <v>-1.1072572038420492E-2</v>
      </c>
      <c r="AD26" s="716">
        <f>'Build Up'!Q14/'Build Up'!L14-1</f>
        <v>-5.1719745222929991E-2</v>
      </c>
      <c r="AE26" s="716">
        <f>'Build Up'!R14/'Build Up'!M14-1</f>
        <v>-1.5777806754466051E-2</v>
      </c>
      <c r="AF26" s="716">
        <f>'Build Up'!S14/'Build Up'!N14-1</f>
        <v>-4.1340243461492121E-2</v>
      </c>
      <c r="AG26" s="716">
        <f>'Build Up'!U14/'Build Up'!P14-1</f>
        <v>-2.1179009847565045E-2</v>
      </c>
      <c r="AH26" s="716">
        <f>'Build Up'!V14/'Build Up'!Q14-1</f>
        <v>-1.2090274046211769E-2</v>
      </c>
      <c r="AI26" s="716">
        <f>'Build Up'!W14/'Build Up'!R14-1</f>
        <v>-2.5702172760996289E-2</v>
      </c>
      <c r="AJ26" s="716">
        <f>'Build Up'!X14/'Build Up'!S14-1</f>
        <v>-1.584108624591396E-2</v>
      </c>
      <c r="AK26" s="716">
        <f>'Build Up'!Z14/'Build Up'!U14-1</f>
        <v>-3.9277839029768447E-2</v>
      </c>
      <c r="AL26" s="716">
        <f>AVERAGE(Y26:AK26)</f>
        <v>-3.1789150835349417E-2</v>
      </c>
      <c r="AM26" s="718">
        <f>STDEVP(AD26:AK26)</f>
        <v>1.3554431700462662E-2</v>
      </c>
    </row>
    <row r="27" spans="2:40" ht="16.5" customHeight="1">
      <c r="B27" s="66" t="s">
        <v>19</v>
      </c>
      <c r="C27" s="67"/>
      <c r="D27" s="708">
        <f>CHOOSE($C2,D24,D25,D26)</f>
        <v>0.14000000000000001</v>
      </c>
      <c r="E27" s="708">
        <f>CHOOSE($C2,E24,E25,E26)</f>
        <v>0.14000000000000001</v>
      </c>
      <c r="F27" s="708">
        <f>CHOOSE($C2,F24,F25,F26)</f>
        <v>0.14000000000000001</v>
      </c>
      <c r="G27" s="708">
        <f>CHOOSE($C2,G24,G25,G26)</f>
        <v>0.15</v>
      </c>
      <c r="H27" s="708">
        <f>CHOOSE($C2,H24,H25,H26)</f>
        <v>0.16</v>
      </c>
      <c r="I27" s="708">
        <f>CHOOSE($C2,I24,I25,I26)</f>
        <v>0.17</v>
      </c>
      <c r="J27" s="708">
        <f>CHOOSE($C2,J24,J25,J26)</f>
        <v>0.16</v>
      </c>
      <c r="K27" s="709">
        <f>CHOOSE($C2,K24,K25,K26)</f>
        <v>0.15</v>
      </c>
      <c r="M27" s="69"/>
      <c r="X27" s="714" t="s">
        <v>43</v>
      </c>
      <c r="Y27" s="716">
        <f>'Build Up'!K36</f>
        <v>0.35081744968609285</v>
      </c>
      <c r="Z27" s="716">
        <f>'Build Up'!L36</f>
        <v>0.35383570943652409</v>
      </c>
      <c r="AA27" s="716">
        <f>'Build Up'!M36</f>
        <v>0.35208719442238107</v>
      </c>
      <c r="AB27" s="716">
        <f>'Build Up'!N36</f>
        <v>0.35027715532492038</v>
      </c>
      <c r="AC27" s="716">
        <f>'Build Up'!P36</f>
        <v>0.39627546237109007</v>
      </c>
      <c r="AD27" s="716">
        <f>'Build Up'!Q36</f>
        <v>0.40139054214911807</v>
      </c>
      <c r="AE27" s="716">
        <f>'Build Up'!R36</f>
        <v>0.40329368709972552</v>
      </c>
      <c r="AF27" s="716">
        <f>'Build Up'!S36</f>
        <v>0.39046780983185481</v>
      </c>
      <c r="AG27" s="716">
        <f>'Build Up'!U36</f>
        <v>0.4229913025471112</v>
      </c>
      <c r="AH27" s="716">
        <f>'Build Up'!V36</f>
        <v>0.40055486231418774</v>
      </c>
      <c r="AI27" s="716">
        <f>'Build Up'!W36</f>
        <v>0.38513761889445391</v>
      </c>
      <c r="AJ27" s="716">
        <f>'Build Up'!X36</f>
        <v>0.41864346664997598</v>
      </c>
      <c r="AK27" s="716">
        <f>'Build Up'!Z36</f>
        <v>0.4528152437051664</v>
      </c>
      <c r="AL27" s="716">
        <f>AVERAGE(Y27:AK27)</f>
        <v>0.39066057726404629</v>
      </c>
      <c r="AM27" s="718">
        <f>STDEVP(AD27:AK27)</f>
        <v>2.0254053125255706E-2</v>
      </c>
    </row>
    <row r="28" spans="2:40" ht="15.75" customHeight="1">
      <c r="B28" s="51"/>
      <c r="C28" s="51"/>
      <c r="D28" s="51"/>
      <c r="E28" s="51"/>
      <c r="F28" s="51"/>
      <c r="G28" s="51"/>
      <c r="H28" s="51"/>
      <c r="I28" s="51"/>
      <c r="J28" s="51"/>
      <c r="K28" s="51"/>
      <c r="X28" s="714" t="s">
        <v>44</v>
      </c>
      <c r="Y28" s="716">
        <f>'Build Up'!K39</f>
        <v>2.5623826133619534E-2</v>
      </c>
      <c r="Z28" s="716">
        <f>'Build Up'!L39</f>
        <v>4.9184410409662559E-2</v>
      </c>
      <c r="AA28" s="716">
        <f>'Build Up'!M39</f>
        <v>3.1625252645345381E-2</v>
      </c>
      <c r="AB28" s="716">
        <f>'Build Up'!N39</f>
        <v>9.3994778067885115E-2</v>
      </c>
      <c r="AC28" s="716">
        <f>'Build Up'!P39</f>
        <v>9.4004595780238148E-2</v>
      </c>
      <c r="AD28" s="716">
        <f>'Build Up'!Q39</f>
        <v>0.11326954672852034</v>
      </c>
      <c r="AE28" s="716">
        <f>'Build Up'!R39</f>
        <v>0.17149652074341584</v>
      </c>
      <c r="AF28" s="716">
        <f>'Build Up'!S39</f>
        <v>0.17507319113341699</v>
      </c>
      <c r="AG28" s="716">
        <f>'Build Up'!U39</f>
        <v>0.17756933115823817</v>
      </c>
      <c r="AH28" s="716">
        <f>'Build Up'!V39</f>
        <v>0.20742806811509101</v>
      </c>
      <c r="AI28" s="716">
        <f>'Build Up'!W39</f>
        <v>0.23711816322491258</v>
      </c>
      <c r="AJ28" s="716">
        <f>'Build Up'!X39</f>
        <v>0.30078125</v>
      </c>
      <c r="AK28" s="716">
        <f>'Build Up'!Z39</f>
        <v>0.32943878570002</v>
      </c>
      <c r="AL28" s="716">
        <f>AVERAGE(Y28:AK28)</f>
        <v>0.15435443998772044</v>
      </c>
      <c r="AM28" s="718">
        <f>STDEVP(AD28:AK28)</f>
        <v>6.7296354451016421E-2</v>
      </c>
    </row>
    <row r="29" spans="2:40" ht="16.5" customHeight="1">
      <c r="B29" s="54"/>
      <c r="C29" s="55"/>
      <c r="D29" s="737" t="s">
        <v>45</v>
      </c>
      <c r="E29" s="737"/>
      <c r="F29" s="737"/>
      <c r="G29" s="737"/>
      <c r="H29" s="737"/>
      <c r="I29" s="737"/>
      <c r="J29" s="737"/>
      <c r="K29" s="737"/>
    </row>
    <row r="30" spans="2:40" ht="15.75" customHeight="1">
      <c r="B30" s="56"/>
      <c r="C30" s="51"/>
      <c r="D30" s="57" t="s">
        <v>7</v>
      </c>
      <c r="E30" s="57" t="s">
        <v>8</v>
      </c>
      <c r="F30" s="57" t="s">
        <v>9</v>
      </c>
      <c r="G30" s="57">
        <f>2027</f>
        <v>2027</v>
      </c>
      <c r="H30" s="57">
        <f>G30+1</f>
        <v>2028</v>
      </c>
      <c r="I30" s="57">
        <f>H30+1</f>
        <v>2029</v>
      </c>
      <c r="J30" s="57">
        <v>2030</v>
      </c>
      <c r="K30" s="58">
        <v>2031</v>
      </c>
    </row>
    <row r="31" spans="2:40" ht="15.75" customHeight="1">
      <c r="B31" s="56" t="s">
        <v>0</v>
      </c>
      <c r="C31" s="59">
        <f>C2</f>
        <v>2</v>
      </c>
      <c r="D31" s="51"/>
      <c r="E31" s="51"/>
      <c r="F31" s="51"/>
      <c r="G31" s="51"/>
      <c r="H31" s="51"/>
      <c r="I31" s="51"/>
      <c r="J31" s="51"/>
      <c r="K31" s="60"/>
    </row>
    <row r="32" spans="2:40" ht="15" customHeight="1">
      <c r="B32" s="61" t="s">
        <v>13</v>
      </c>
      <c r="C32" s="62"/>
      <c r="D32" s="660">
        <f>D33*(1-$P$9*$R$10)</f>
        <v>0.24815834733034225</v>
      </c>
      <c r="E32" s="660">
        <f>E33*(1-$P$9*$R$10)</f>
        <v>0.24815834733034225</v>
      </c>
      <c r="F32" s="660">
        <f>F33*(1-$P$9*$R$10)</f>
        <v>0.24815834733034225</v>
      </c>
      <c r="G32" s="660">
        <f>G33*(1-$P$9*$R$10)</f>
        <v>0.41359724555057042</v>
      </c>
      <c r="H32" s="660">
        <f>H33*(1-$P$9*$R$10)</f>
        <v>0.26470223715236507</v>
      </c>
      <c r="I32" s="660">
        <f>I33*(1-$P$9*$R$10)</f>
        <v>0.16543889822022817</v>
      </c>
      <c r="J32" s="660">
        <f>J33*(1-$P$9*$R$10)</f>
        <v>0.12407917366517113</v>
      </c>
      <c r="K32" s="696">
        <f>K33*(1-$P$9*$R$10)</f>
        <v>8.2719449110114085E-2</v>
      </c>
    </row>
    <row r="33" spans="2:13" ht="15.75" customHeight="1">
      <c r="B33" s="61" t="s">
        <v>15</v>
      </c>
      <c r="C33" s="64"/>
      <c r="D33" s="719">
        <v>0.3</v>
      </c>
      <c r="E33" s="719">
        <v>0.3</v>
      </c>
      <c r="F33" s="719">
        <v>0.3</v>
      </c>
      <c r="G33" s="719">
        <v>0.5</v>
      </c>
      <c r="H33" s="719">
        <v>0.32</v>
      </c>
      <c r="I33" s="719">
        <v>0.2</v>
      </c>
      <c r="J33" s="719">
        <v>0.15</v>
      </c>
      <c r="K33" s="720">
        <v>0.1</v>
      </c>
    </row>
    <row r="34" spans="2:13" ht="15.75" customHeight="1">
      <c r="B34" s="61" t="s">
        <v>11</v>
      </c>
      <c r="C34" s="65"/>
      <c r="D34" s="721">
        <f>D33*(1+$P$9*$R$10)</f>
        <v>0.35184165266965772</v>
      </c>
      <c r="E34" s="721">
        <f>E33*(1+$P$9*$R$10)</f>
        <v>0.35184165266965772</v>
      </c>
      <c r="F34" s="721">
        <f>F33*(1+$P$9*$R$10)</f>
        <v>0.35184165266965772</v>
      </c>
      <c r="G34" s="721">
        <f>G33*(1+$P$9*$R$10)</f>
        <v>0.58640275444942958</v>
      </c>
      <c r="H34" s="721">
        <f>H33*(1+$P$9*$R$10)</f>
        <v>0.37529776284763494</v>
      </c>
      <c r="I34" s="721">
        <f>I33*(1+$P$9*$R$10)</f>
        <v>0.23456110177977185</v>
      </c>
      <c r="J34" s="721">
        <f>J33*(1+$P$9*$R$10)</f>
        <v>0.17592082633482886</v>
      </c>
      <c r="K34" s="722">
        <f>K33*(1+$P$9*$R$10)</f>
        <v>0.11728055088988593</v>
      </c>
    </row>
    <row r="35" spans="2:13" ht="16.5" customHeight="1">
      <c r="B35" s="66" t="s">
        <v>19</v>
      </c>
      <c r="C35" s="67"/>
      <c r="D35" s="723">
        <f>CHOOSE($C2,D32,D33,D34)</f>
        <v>0.3</v>
      </c>
      <c r="E35" s="723">
        <f>CHOOSE($C2,E32,E33,E34)</f>
        <v>0.3</v>
      </c>
      <c r="F35" s="723">
        <f>CHOOSE($C2,F32,F33,F34)</f>
        <v>0.3</v>
      </c>
      <c r="G35" s="723">
        <f>CHOOSE($C2,G32,G33,G34)</f>
        <v>0.5</v>
      </c>
      <c r="H35" s="723">
        <f>CHOOSE($C2,H32,H33,H34)</f>
        <v>0.32</v>
      </c>
      <c r="I35" s="723">
        <f>CHOOSE($C2,I32,I33,I34)</f>
        <v>0.2</v>
      </c>
      <c r="J35" s="723">
        <f>CHOOSE($C2,J32,J33,J34)</f>
        <v>0.15</v>
      </c>
      <c r="K35" s="724">
        <f>CHOOSE($C2,K32,K33,K34)</f>
        <v>0.1</v>
      </c>
    </row>
    <row r="36" spans="2:13" ht="15.75" customHeight="1">
      <c r="B36" s="51"/>
      <c r="C36" s="51"/>
      <c r="D36" s="51"/>
      <c r="E36" s="51"/>
      <c r="F36" s="51"/>
      <c r="G36" s="51"/>
      <c r="H36" s="51"/>
      <c r="I36" s="51"/>
      <c r="J36" s="51"/>
      <c r="K36" s="51"/>
    </row>
    <row r="37" spans="2:13" ht="16.5" customHeight="1">
      <c r="B37" s="54"/>
      <c r="C37" s="55"/>
      <c r="D37" s="737" t="s">
        <v>46</v>
      </c>
      <c r="E37" s="737"/>
      <c r="F37" s="737"/>
      <c r="G37" s="737"/>
      <c r="H37" s="737"/>
      <c r="I37" s="737"/>
      <c r="J37" s="737"/>
      <c r="K37" s="737"/>
    </row>
    <row r="38" spans="2:13" ht="15.75" customHeight="1">
      <c r="B38" s="56"/>
      <c r="C38" s="51"/>
      <c r="D38" s="57" t="s">
        <v>7</v>
      </c>
      <c r="E38" s="57" t="s">
        <v>8</v>
      </c>
      <c r="F38" s="57" t="s">
        <v>9</v>
      </c>
      <c r="G38" s="57">
        <f>2027</f>
        <v>2027</v>
      </c>
      <c r="H38" s="57">
        <f>G38+1</f>
        <v>2028</v>
      </c>
      <c r="I38" s="57">
        <f>H38+1</f>
        <v>2029</v>
      </c>
      <c r="J38" s="57">
        <v>2030</v>
      </c>
      <c r="K38" s="58">
        <v>2031</v>
      </c>
    </row>
    <row r="39" spans="2:13" ht="15.75" customHeight="1">
      <c r="B39" s="56" t="s">
        <v>0</v>
      </c>
      <c r="C39" s="59">
        <f>C2</f>
        <v>2</v>
      </c>
      <c r="D39" s="51"/>
      <c r="E39" s="51"/>
      <c r="F39" s="51"/>
      <c r="G39" s="51"/>
      <c r="H39" s="51"/>
      <c r="I39" s="51"/>
      <c r="J39" s="51"/>
      <c r="K39" s="60"/>
    </row>
    <row r="40" spans="2:13" ht="15" customHeight="1">
      <c r="B40" s="61" t="s">
        <v>13</v>
      </c>
      <c r="C40" s="62"/>
      <c r="D40" s="660">
        <f>D41-$P$12*$R$10-(D33*$P$9*$R$10*$R$7)</f>
        <v>0.30339140960707733</v>
      </c>
      <c r="E40" s="660">
        <f>E41-$P$12*$R$10-(E33*$P$9*$R$10*$R$7)</f>
        <v>0.29339140960707738</v>
      </c>
      <c r="F40" s="660">
        <f>F41-$P$12*$R$10-(F33*$P$9*$R$10*$R$7)</f>
        <v>0.29339140960707738</v>
      </c>
      <c r="G40" s="660">
        <f>G41-$P$12*$R$10-(G33*$P$9*$R$10*$R$7)</f>
        <v>0.28475113416213438</v>
      </c>
      <c r="H40" s="660">
        <f>H41-$P$12*$R$10-(H33*$P$9*$R$10*$R$7)</f>
        <v>0.30252738206258301</v>
      </c>
      <c r="I40" s="660">
        <f>I41-$P$12*$R$10-(I33*$P$9*$R$10*$R$7)</f>
        <v>0.31771154732954882</v>
      </c>
      <c r="J40" s="660">
        <f>J41-$P$12*$R$10-(J33*$P$9*$R$10*$R$7)</f>
        <v>0.32987161619078453</v>
      </c>
      <c r="K40" s="696">
        <f>K41-$P$12*$R$10-(K33*$P$9*$R$10*$R$7)</f>
        <v>0.34203168505202031</v>
      </c>
    </row>
    <row r="41" spans="2:13" ht="15.75" customHeight="1">
      <c r="B41" s="61" t="s">
        <v>15</v>
      </c>
      <c r="C41" s="64"/>
      <c r="D41" s="725">
        <v>0.35</v>
      </c>
      <c r="E41" s="725">
        <v>0.34</v>
      </c>
      <c r="F41" s="725">
        <v>0.34</v>
      </c>
      <c r="G41" s="726">
        <v>0.34</v>
      </c>
      <c r="H41" s="726">
        <v>0.35</v>
      </c>
      <c r="I41" s="726">
        <v>0.36</v>
      </c>
      <c r="J41" s="726">
        <v>0.37</v>
      </c>
      <c r="K41" s="727">
        <v>0.38</v>
      </c>
    </row>
    <row r="42" spans="2:13" ht="15.75" customHeight="1">
      <c r="B42" s="61" t="s">
        <v>11</v>
      </c>
      <c r="C42" s="65"/>
      <c r="D42" s="661">
        <f>D41+$P$12*$R$10+(D33*$P$9*$R$10*$R$6)</f>
        <v>0.4043848382933713</v>
      </c>
      <c r="E42" s="661">
        <f>E41+$P$12*$R$10+(E33*$P$9*$R$10*$R$6)</f>
        <v>0.39438483829337134</v>
      </c>
      <c r="F42" s="661">
        <f>F41+$P$12*$R$10+(F33*$P$9*$R$10*$R$6)</f>
        <v>0.39438483829337134</v>
      </c>
      <c r="G42" s="661">
        <f>G41+$P$12*$R$10+(G33*$P$9*$R$10*$R$6)</f>
        <v>0.40820927900528009</v>
      </c>
      <c r="H42" s="661">
        <f>H41+$P$12*$R$10+(H33*$P$9*$R$10*$R$6)</f>
        <v>0.40576728236456217</v>
      </c>
      <c r="I42" s="661">
        <f>I41+$P$12*$R$10+(I33*$P$9*$R$10*$R$6)</f>
        <v>0.40747261793741696</v>
      </c>
      <c r="J42" s="661">
        <f>J41+$P$12*$R$10+(J33*$P$9*$R$10*$R$6)</f>
        <v>0.41401650775943977</v>
      </c>
      <c r="K42" s="705">
        <f>K41+$P$12*$R$10+(K33*$P$9*$R$10*$R$6)</f>
        <v>0.42056039758146258</v>
      </c>
    </row>
    <row r="43" spans="2:13" ht="16.5" customHeight="1">
      <c r="B43" s="66" t="s">
        <v>19</v>
      </c>
      <c r="C43" s="67"/>
      <c r="D43" s="708">
        <f>CHOOSE($C7,D40,D41,D42)</f>
        <v>0.35</v>
      </c>
      <c r="E43" s="708">
        <f>CHOOSE($C7,E40,E41,E42)</f>
        <v>0.34</v>
      </c>
      <c r="F43" s="708">
        <f>CHOOSE($C7,F40,F41,F42)</f>
        <v>0.34</v>
      </c>
      <c r="G43" s="708">
        <f>CHOOSE($C7,G40,G41,G42)</f>
        <v>0.34</v>
      </c>
      <c r="H43" s="708">
        <f>CHOOSE($C7,H40,H41,H42)</f>
        <v>0.35</v>
      </c>
      <c r="I43" s="708">
        <f>CHOOSE($C7,I40,I41,I42)</f>
        <v>0.36</v>
      </c>
      <c r="J43" s="708">
        <f>CHOOSE($C7,J40,J41,J42)</f>
        <v>0.37</v>
      </c>
      <c r="K43" s="709">
        <f>CHOOSE($C7,K40,K41,K42)</f>
        <v>0.38</v>
      </c>
      <c r="M43" s="63"/>
    </row>
    <row r="44" spans="2:13" ht="15.75" customHeight="1">
      <c r="B44" s="51"/>
      <c r="C44" s="51"/>
      <c r="D44" s="51"/>
      <c r="E44" s="51"/>
      <c r="F44" s="51"/>
      <c r="G44" s="51"/>
      <c r="H44" s="51"/>
      <c r="I44" s="51"/>
      <c r="J44" s="51"/>
      <c r="K44" s="51"/>
    </row>
    <row r="45" spans="2:13" ht="16.5" customHeight="1">
      <c r="B45" s="54"/>
      <c r="C45" s="55"/>
      <c r="D45" s="737" t="s">
        <v>47</v>
      </c>
      <c r="E45" s="737"/>
      <c r="F45" s="737"/>
      <c r="G45" s="737"/>
      <c r="H45" s="737"/>
      <c r="I45" s="737"/>
      <c r="J45" s="737"/>
      <c r="K45" s="737"/>
    </row>
    <row r="46" spans="2:13" ht="15.75" customHeight="1">
      <c r="B46" s="56"/>
      <c r="C46" s="51"/>
      <c r="D46" s="57" t="s">
        <v>7</v>
      </c>
      <c r="E46" s="57" t="s">
        <v>8</v>
      </c>
      <c r="F46" s="57" t="s">
        <v>9</v>
      </c>
      <c r="G46" s="57">
        <f>2027</f>
        <v>2027</v>
      </c>
      <c r="H46" s="57">
        <f>G46+1</f>
        <v>2028</v>
      </c>
      <c r="I46" s="57">
        <f>H46+1</f>
        <v>2029</v>
      </c>
      <c r="J46" s="57">
        <v>2030</v>
      </c>
      <c r="K46" s="58">
        <v>2031</v>
      </c>
    </row>
    <row r="47" spans="2:13" ht="15.75" customHeight="1">
      <c r="B47" s="56" t="s">
        <v>0</v>
      </c>
      <c r="C47" s="59">
        <f>C2</f>
        <v>2</v>
      </c>
      <c r="D47" s="51"/>
      <c r="E47" s="51"/>
      <c r="F47" s="51"/>
      <c r="G47" s="51"/>
      <c r="H47" s="51"/>
      <c r="I47" s="51"/>
      <c r="J47" s="51"/>
      <c r="K47" s="60"/>
    </row>
    <row r="48" spans="2:13" ht="15" customHeight="1">
      <c r="B48" s="61" t="s">
        <v>13</v>
      </c>
      <c r="C48" s="62"/>
      <c r="D48" s="660">
        <f>D49-$P$11*$R$10-(D9*$P$6*$R$10*$R$7)</f>
        <v>0.43551871140298287</v>
      </c>
      <c r="E48" s="660">
        <f>E49-$P$11*$R$10-(E9*$P$6*$R$10*$R$7)</f>
        <v>0.43551871140298287</v>
      </c>
      <c r="F48" s="660">
        <f>F49-$P$11*$R$10-(F9*$P$6*$R$10*$R$7)</f>
        <v>0.43551871140298287</v>
      </c>
      <c r="G48" s="660">
        <f>G49-$P$11*$R$10-(G9*$P$6*$R$10*$R$7)</f>
        <v>0.43406729072485312</v>
      </c>
      <c r="H48" s="660">
        <f>H49-$P$11*$R$10-(H9*$P$6*$R$10*$R$7)</f>
        <v>0.44493814313173097</v>
      </c>
      <c r="I48" s="660">
        <f>I49-$P$11*$R$10-(I9*$P$6*$R$10*$R$7)</f>
        <v>0.45580899553860876</v>
      </c>
      <c r="J48" s="660">
        <f>J49-$P$11*$R$10-(J9*$P$6*$R$10*$R$7)</f>
        <v>0.45638956380986068</v>
      </c>
      <c r="K48" s="696">
        <f>K49-$P$11*$R$10-(K9*$P$6*$R$10*$R$7)</f>
        <v>0.45697013208111259</v>
      </c>
    </row>
    <row r="49" spans="2:16" ht="15.75" customHeight="1">
      <c r="B49" s="61" t="s">
        <v>15</v>
      </c>
      <c r="C49" s="64"/>
      <c r="D49" s="725">
        <v>0.45</v>
      </c>
      <c r="E49" s="725">
        <v>0.45</v>
      </c>
      <c r="F49" s="725">
        <v>0.45</v>
      </c>
      <c r="G49" s="726">
        <v>0.45</v>
      </c>
      <c r="H49" s="726">
        <v>0.46</v>
      </c>
      <c r="I49" s="726">
        <v>0.47</v>
      </c>
      <c r="J49" s="726">
        <v>0.47</v>
      </c>
      <c r="K49" s="727">
        <v>0.47</v>
      </c>
    </row>
    <row r="50" spans="2:16" ht="15.75" customHeight="1">
      <c r="B50" s="61" t="s">
        <v>11</v>
      </c>
      <c r="C50" s="65"/>
      <c r="D50" s="661">
        <f>D49+$P$11*$R$10+(D9*$P$6*$R$10*$R$6)</f>
        <v>0.46709384581765068</v>
      </c>
      <c r="E50" s="661">
        <f>E49+$P$11*$R$10+(E9*$P$6*$R$10*$R$6)</f>
        <v>0.46709384581765068</v>
      </c>
      <c r="F50" s="661">
        <f>F49+$P$11*$R$10+(F9*$P$6*$R$10*$R$6)</f>
        <v>0.46709384581765068</v>
      </c>
      <c r="G50" s="661">
        <f>G49+$P$11*$R$10+(G9*$P$6*$R$10*$R$6)</f>
        <v>0.46941611890265833</v>
      </c>
      <c r="H50" s="661">
        <f>H49+$P$11*$R$10+(H9*$P$6*$R$10*$R$6)</f>
        <v>0.47802275505165376</v>
      </c>
      <c r="I50" s="661">
        <f>I49+$P$11*$R$10+(I9*$P$6*$R$10*$R$6)</f>
        <v>0.48662939120064913</v>
      </c>
      <c r="J50" s="661">
        <f>J49+$P$11*$R$10+(J9*$P$6*$R$10*$R$6)</f>
        <v>0.48570048196664611</v>
      </c>
      <c r="K50" s="705">
        <f>K49+$P$11*$R$10+(K9*$P$6*$R$10*$R$6)</f>
        <v>0.48477157273264304</v>
      </c>
    </row>
    <row r="51" spans="2:16" ht="16.5" customHeight="1">
      <c r="B51" s="66" t="s">
        <v>19</v>
      </c>
      <c r="C51" s="67"/>
      <c r="D51" s="708">
        <f>CHOOSE($C$2,D48,D49,D50)</f>
        <v>0.45</v>
      </c>
      <c r="E51" s="708">
        <f>CHOOSE($C$2,E48,E49,E50)</f>
        <v>0.45</v>
      </c>
      <c r="F51" s="708">
        <f>CHOOSE($C$2,F48,F49,F50)</f>
        <v>0.45</v>
      </c>
      <c r="G51" s="708">
        <f>CHOOSE($C$2,G48,G49,G50)</f>
        <v>0.45</v>
      </c>
      <c r="H51" s="708">
        <f>CHOOSE($C$2,H48,H49,H50)</f>
        <v>0.46</v>
      </c>
      <c r="I51" s="708">
        <f>CHOOSE($C$2,I48,I49,I50)</f>
        <v>0.47</v>
      </c>
      <c r="J51" s="708">
        <f>CHOOSE($C$2,J48,J49,J50)</f>
        <v>0.47</v>
      </c>
      <c r="K51" s="709">
        <f>CHOOSE($C$2,K48,K49,K50)</f>
        <v>0.47</v>
      </c>
    </row>
    <row r="52" spans="2:16" ht="15.75" customHeight="1">
      <c r="B52" s="51"/>
      <c r="C52" s="51"/>
      <c r="D52" s="51"/>
      <c r="E52" s="51"/>
      <c r="F52" s="51"/>
      <c r="G52" s="51"/>
      <c r="H52" s="51"/>
      <c r="I52" s="51"/>
      <c r="J52" s="51"/>
      <c r="K52" s="51"/>
    </row>
    <row r="53" spans="2:16" ht="16.5" customHeight="1">
      <c r="B53" s="54"/>
      <c r="C53" s="55"/>
      <c r="D53" s="737" t="s">
        <v>48</v>
      </c>
      <c r="E53" s="737"/>
      <c r="F53" s="737"/>
      <c r="G53" s="737"/>
      <c r="H53" s="737"/>
      <c r="I53" s="737"/>
      <c r="J53" s="737"/>
      <c r="K53" s="737"/>
    </row>
    <row r="54" spans="2:16" ht="15.75" customHeight="1">
      <c r="B54" s="56"/>
      <c r="C54" s="51"/>
      <c r="D54" s="57" t="s">
        <v>7</v>
      </c>
      <c r="E54" s="57" t="s">
        <v>8</v>
      </c>
      <c r="F54" s="57" t="s">
        <v>9</v>
      </c>
      <c r="G54" s="57">
        <f>2027</f>
        <v>2027</v>
      </c>
      <c r="H54" s="57">
        <f>G54+1</f>
        <v>2028</v>
      </c>
      <c r="I54" s="57">
        <f>H54+1</f>
        <v>2029</v>
      </c>
      <c r="J54" s="57">
        <v>2030</v>
      </c>
      <c r="K54" s="58">
        <v>2031</v>
      </c>
    </row>
    <row r="55" spans="2:16" ht="15.75" customHeight="1">
      <c r="B55" s="56" t="s">
        <v>0</v>
      </c>
      <c r="C55" s="59">
        <f>C2</f>
        <v>2</v>
      </c>
      <c r="D55" s="51"/>
      <c r="E55" s="51"/>
      <c r="F55" s="51"/>
      <c r="G55" s="51"/>
      <c r="H55" s="51"/>
      <c r="I55" s="51"/>
      <c r="J55" s="51"/>
      <c r="K55" s="60"/>
    </row>
    <row r="56" spans="2:16" ht="15" customHeight="1">
      <c r="B56" s="61" t="s">
        <v>13</v>
      </c>
      <c r="C56" s="62"/>
      <c r="D56" s="660">
        <f>D57-1%</f>
        <v>0.36</v>
      </c>
      <c r="E56" s="660">
        <f>E57-1%</f>
        <v>0.39</v>
      </c>
      <c r="F56" s="660">
        <f>F57-1%</f>
        <v>0.47</v>
      </c>
      <c r="G56" s="660">
        <f>G57-1%</f>
        <v>0.39</v>
      </c>
      <c r="H56" s="660">
        <f>H57-1%</f>
        <v>0.33999999999999997</v>
      </c>
      <c r="I56" s="660">
        <f>I57-1%</f>
        <v>0.28999999999999998</v>
      </c>
      <c r="J56" s="660">
        <f>J57-1%</f>
        <v>0.19</v>
      </c>
      <c r="K56" s="696">
        <f>K57-1%</f>
        <v>0.13999999999999999</v>
      </c>
    </row>
    <row r="57" spans="2:16" ht="15.75" customHeight="1">
      <c r="B57" s="61" t="s">
        <v>15</v>
      </c>
      <c r="C57" s="64"/>
      <c r="D57" s="728">
        <v>0.37</v>
      </c>
      <c r="E57" s="728">
        <v>0.4</v>
      </c>
      <c r="F57" s="728">
        <v>0.48</v>
      </c>
      <c r="G57" s="729">
        <v>0.4</v>
      </c>
      <c r="H57" s="729">
        <v>0.35</v>
      </c>
      <c r="I57" s="729">
        <v>0.3</v>
      </c>
      <c r="J57" s="729">
        <v>0.2</v>
      </c>
      <c r="K57" s="730">
        <v>0.15</v>
      </c>
    </row>
    <row r="58" spans="2:16" ht="15.75" customHeight="1">
      <c r="B58" s="61" t="s">
        <v>11</v>
      </c>
      <c r="C58" s="65"/>
      <c r="D58" s="661">
        <f>D57+1%</f>
        <v>0.38</v>
      </c>
      <c r="E58" s="661">
        <f>E57+1%</f>
        <v>0.41000000000000003</v>
      </c>
      <c r="F58" s="661">
        <f>F57+1%</f>
        <v>0.49</v>
      </c>
      <c r="G58" s="661">
        <f>G57+1%</f>
        <v>0.41000000000000003</v>
      </c>
      <c r="H58" s="661">
        <f>H57+1%</f>
        <v>0.36</v>
      </c>
      <c r="I58" s="661">
        <f>I57+1%</f>
        <v>0.31</v>
      </c>
      <c r="J58" s="661">
        <f>J57+1%</f>
        <v>0.21000000000000002</v>
      </c>
      <c r="K58" s="705">
        <f>K57+1%</f>
        <v>0.16</v>
      </c>
    </row>
    <row r="59" spans="2:16" ht="16.5" customHeight="1">
      <c r="B59" s="66" t="s">
        <v>19</v>
      </c>
      <c r="C59" s="67"/>
      <c r="D59" s="708">
        <f>CHOOSE($C$2,D56,D57,D58)</f>
        <v>0.37</v>
      </c>
      <c r="E59" s="708">
        <f>CHOOSE($C$2,E56,E57,E58)</f>
        <v>0.4</v>
      </c>
      <c r="F59" s="708">
        <f>CHOOSE($C$2,F56,F57,F58)</f>
        <v>0.48</v>
      </c>
      <c r="G59" s="708">
        <f>CHOOSE($C$2,G56,G57,G58)</f>
        <v>0.4</v>
      </c>
      <c r="H59" s="708">
        <f>CHOOSE($C$2,H56,H57,H58)</f>
        <v>0.35</v>
      </c>
      <c r="I59" s="708">
        <f>CHOOSE($C$2,I56,I57,I58)</f>
        <v>0.3</v>
      </c>
      <c r="J59" s="708">
        <f>CHOOSE($C$2,J56,J57,J58)</f>
        <v>0.2</v>
      </c>
      <c r="K59" s="709">
        <f>CHOOSE($C$2,K56,K57,K58)</f>
        <v>0.15</v>
      </c>
    </row>
    <row r="60" spans="2:16" ht="15">
      <c r="D60" s="731"/>
      <c r="E60" s="731"/>
      <c r="F60" s="731"/>
      <c r="G60" s="731"/>
      <c r="H60" s="731"/>
      <c r="I60" s="731"/>
      <c r="J60" s="731"/>
      <c r="K60" s="731"/>
    </row>
    <row r="61" spans="2:16" ht="15.75">
      <c r="B61" s="54"/>
      <c r="C61" s="55"/>
      <c r="D61" s="737" t="s">
        <v>49</v>
      </c>
      <c r="E61" s="737"/>
      <c r="F61" s="737"/>
      <c r="G61" s="737"/>
      <c r="H61" s="737"/>
      <c r="I61" s="737"/>
      <c r="J61" s="737"/>
      <c r="K61" s="737"/>
    </row>
    <row r="62" spans="2:16" ht="15.75" customHeight="1">
      <c r="B62" s="56"/>
      <c r="C62" s="51"/>
      <c r="D62" s="57" t="s">
        <v>7</v>
      </c>
      <c r="E62" s="57" t="s">
        <v>8</v>
      </c>
      <c r="F62" s="57" t="s">
        <v>9</v>
      </c>
      <c r="G62" s="57">
        <f>2027</f>
        <v>2027</v>
      </c>
      <c r="H62" s="57">
        <f>G62+1</f>
        <v>2028</v>
      </c>
      <c r="I62" s="57">
        <f>H62+1</f>
        <v>2029</v>
      </c>
      <c r="J62" s="57">
        <v>2030</v>
      </c>
      <c r="K62" s="58">
        <v>2031</v>
      </c>
    </row>
    <row r="63" spans="2:16" ht="15.75">
      <c r="B63" s="56" t="s">
        <v>0</v>
      </c>
      <c r="C63" s="59">
        <f>C2</f>
        <v>2</v>
      </c>
      <c r="D63" s="51"/>
      <c r="E63" s="51"/>
      <c r="F63" s="51"/>
      <c r="G63" s="51"/>
      <c r="H63" s="51"/>
      <c r="I63" s="51"/>
      <c r="J63" s="51"/>
      <c r="K63" s="60"/>
    </row>
    <row r="64" spans="2:16" ht="15">
      <c r="B64" s="61" t="s">
        <v>13</v>
      </c>
      <c r="C64" s="62"/>
      <c r="D64" s="660">
        <f>D65-$P$10*$R$10</f>
        <v>-9.7772158502313321E-3</v>
      </c>
      <c r="E64" s="660">
        <f>E65-$P$10*$R$10</f>
        <v>-9.7772158502313321E-3</v>
      </c>
      <c r="F64" s="660">
        <f>F65-$P$10*$R$10</f>
        <v>-9.7772158502313321E-3</v>
      </c>
      <c r="G64" s="660">
        <f>G65-$P$10*$R$10</f>
        <v>-1.6777215850231331E-2</v>
      </c>
      <c r="H64" s="660">
        <f>H65-$P$10*$R$10</f>
        <v>-1.4777215850231331E-2</v>
      </c>
      <c r="I64" s="660">
        <f>I65-$P$10*$R$10</f>
        <v>-1.2777215850231331E-2</v>
      </c>
      <c r="J64" s="660">
        <f>J65-$P$10*$R$10</f>
        <v>-1.0777215850231331E-2</v>
      </c>
      <c r="K64" s="696">
        <f>K65-$P$10*$R$10</f>
        <v>-8.7772158502313312E-3</v>
      </c>
      <c r="P64" s="63"/>
    </row>
    <row r="65" spans="2:12" ht="15.75" customHeight="1">
      <c r="B65" s="61" t="s">
        <v>15</v>
      </c>
      <c r="C65" s="64"/>
      <c r="D65" s="725">
        <v>-3.0000000000000001E-3</v>
      </c>
      <c r="E65" s="725">
        <v>-3.0000000000000001E-3</v>
      </c>
      <c r="F65" s="725">
        <v>-3.0000000000000001E-3</v>
      </c>
      <c r="G65" s="726">
        <v>-0.01</v>
      </c>
      <c r="H65" s="726">
        <v>-8.0000000000000002E-3</v>
      </c>
      <c r="I65" s="726">
        <v>-6.0000000000000001E-3</v>
      </c>
      <c r="J65" s="726">
        <v>-4.0000000000000001E-3</v>
      </c>
      <c r="K65" s="727">
        <v>-2E-3</v>
      </c>
      <c r="L65" s="63"/>
    </row>
    <row r="66" spans="2:12" ht="15">
      <c r="B66" s="61" t="s">
        <v>11</v>
      </c>
      <c r="C66" s="65"/>
      <c r="D66" s="661">
        <f>D65+$P$10*$R$10</f>
        <v>3.7772158502313311E-3</v>
      </c>
      <c r="E66" s="661">
        <f>E65+$P$10*$R$10</f>
        <v>3.7772158502313311E-3</v>
      </c>
      <c r="F66" s="661">
        <f>F65+$P$10*$R$10</f>
        <v>3.7772158502313311E-3</v>
      </c>
      <c r="G66" s="661">
        <f>G65+$P$10*$R$10</f>
        <v>-3.2227841497686691E-3</v>
      </c>
      <c r="H66" s="661">
        <f>H65+$P$10*$R$10</f>
        <v>-1.222784149768669E-3</v>
      </c>
      <c r="I66" s="661">
        <f>I65+$P$10*$R$10</f>
        <v>7.7721585023133102E-4</v>
      </c>
      <c r="J66" s="661">
        <f>J65+$P$10*$R$10</f>
        <v>2.7772158502313311E-3</v>
      </c>
      <c r="K66" s="705">
        <f>K65+$P$10*$R$10</f>
        <v>4.7772158502313311E-3</v>
      </c>
    </row>
    <row r="67" spans="2:12" ht="15.75" customHeight="1">
      <c r="B67" s="66" t="s">
        <v>19</v>
      </c>
      <c r="C67" s="67"/>
      <c r="D67" s="708">
        <f>CHOOSE($C2,D64,D65,D66)</f>
        <v>-3.0000000000000001E-3</v>
      </c>
      <c r="E67" s="708">
        <f>CHOOSE($C2,E64,E65,E66)</f>
        <v>-3.0000000000000001E-3</v>
      </c>
      <c r="F67" s="708">
        <f>CHOOSE($C2,F64,F65,F66)</f>
        <v>-3.0000000000000001E-3</v>
      </c>
      <c r="G67" s="708">
        <f>CHOOSE($C2,G64,G65,G66)</f>
        <v>-0.01</v>
      </c>
      <c r="H67" s="708">
        <f>CHOOSE($C2,H64,H65,H66)</f>
        <v>-8.0000000000000002E-3</v>
      </c>
      <c r="I67" s="708">
        <f>CHOOSE($C2,I64,I65,I66)</f>
        <v>-6.0000000000000001E-3</v>
      </c>
      <c r="J67" s="708">
        <f>CHOOSE($C2,J64,J65,J66)</f>
        <v>-4.0000000000000001E-3</v>
      </c>
      <c r="K67" s="709">
        <f>CHOOSE($C2,K64,K65,K66)</f>
        <v>-2E-3</v>
      </c>
    </row>
    <row r="68" spans="2:12" ht="15"/>
  </sheetData>
  <mergeCells count="8">
    <mergeCell ref="D61:K61"/>
    <mergeCell ref="D45:K45"/>
    <mergeCell ref="D53:K53"/>
    <mergeCell ref="D5:K5"/>
    <mergeCell ref="D13:K13"/>
    <mergeCell ref="D21:K21"/>
    <mergeCell ref="D29:K29"/>
    <mergeCell ref="D37:K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C1B23"/>
  </sheetPr>
  <dimension ref="A1:BB44"/>
  <sheetViews>
    <sheetView showGridLines="0" zoomScale="85" zoomScaleNormal="85" workbookViewId="0">
      <pane xSplit="3" ySplit="5" topLeftCell="U6" activePane="bottomRight" state="frozen"/>
      <selection pane="bottomRight" activeCell="AA15" sqref="AA15"/>
      <selection pane="bottomLeft" activeCell="A32" sqref="A32"/>
      <selection pane="topRight" activeCell="Y1" sqref="Y1"/>
    </sheetView>
  </sheetViews>
  <sheetFormatPr defaultColWidth="8.5" defaultRowHeight="14.25"/>
  <cols>
    <col min="1" max="1" width="2" customWidth="1"/>
    <col min="3" max="3" width="20.125" customWidth="1"/>
    <col min="4" max="14" width="9.875" customWidth="1"/>
    <col min="15" max="15" width="12.5" customWidth="1"/>
    <col min="16" max="26" width="9.875" customWidth="1"/>
    <col min="27" max="27" width="10" customWidth="1"/>
    <col min="28" max="30" width="9.5" customWidth="1"/>
    <col min="31" max="34" width="9.875" customWidth="1"/>
    <col min="35" max="35" width="12.75" customWidth="1"/>
    <col min="37" max="37" width="10" customWidth="1"/>
  </cols>
  <sheetData>
    <row r="1" spans="1:44" ht="15" customHeight="1">
      <c r="A1" s="71"/>
      <c r="O1" s="72" t="s">
        <v>50</v>
      </c>
    </row>
    <row r="2" spans="1:44" ht="15.75" customHeight="1">
      <c r="O2" s="73" t="s">
        <v>51</v>
      </c>
    </row>
    <row r="3" spans="1:44" ht="15" customHeight="1">
      <c r="O3" s="74" t="s">
        <v>52</v>
      </c>
      <c r="AI3" s="154"/>
    </row>
    <row r="5" spans="1:44" ht="15" customHeight="1">
      <c r="A5" s="746" t="s">
        <v>53</v>
      </c>
      <c r="B5" s="746"/>
      <c r="C5" s="746"/>
      <c r="D5" s="76">
        <v>2020</v>
      </c>
      <c r="E5" s="76">
        <v>2021</v>
      </c>
      <c r="F5" s="76" t="s">
        <v>54</v>
      </c>
      <c r="G5" s="76" t="s">
        <v>55</v>
      </c>
      <c r="H5" s="76" t="s">
        <v>56</v>
      </c>
      <c r="I5" s="76" t="s">
        <v>57</v>
      </c>
      <c r="J5" s="76">
        <v>2022</v>
      </c>
      <c r="K5" s="76" t="s">
        <v>26</v>
      </c>
      <c r="L5" s="76" t="s">
        <v>27</v>
      </c>
      <c r="M5" s="76" t="s">
        <v>28</v>
      </c>
      <c r="N5" s="76" t="s">
        <v>29</v>
      </c>
      <c r="O5" s="76">
        <v>2023</v>
      </c>
      <c r="P5" s="76" t="s">
        <v>30</v>
      </c>
      <c r="Q5" s="76" t="s">
        <v>31</v>
      </c>
      <c r="R5" s="76" t="s">
        <v>32</v>
      </c>
      <c r="S5" s="76" t="s">
        <v>33</v>
      </c>
      <c r="T5" s="76">
        <v>2024</v>
      </c>
      <c r="U5" s="76" t="s">
        <v>34</v>
      </c>
      <c r="V5" s="76" t="s">
        <v>35</v>
      </c>
      <c r="W5" s="76" t="s">
        <v>36</v>
      </c>
      <c r="X5" s="76" t="s">
        <v>37</v>
      </c>
      <c r="Y5" s="76">
        <v>2025</v>
      </c>
      <c r="Z5" s="76" t="s">
        <v>38</v>
      </c>
      <c r="AA5" s="77" t="s">
        <v>58</v>
      </c>
      <c r="AB5" s="77" t="s">
        <v>59</v>
      </c>
      <c r="AC5" s="77" t="s">
        <v>60</v>
      </c>
      <c r="AD5" s="77">
        <v>2026</v>
      </c>
      <c r="AE5" s="77">
        <v>2027</v>
      </c>
      <c r="AF5" s="77">
        <v>2028</v>
      </c>
      <c r="AG5" s="77">
        <v>2029</v>
      </c>
      <c r="AH5" s="77">
        <v>2030</v>
      </c>
      <c r="AI5" s="77">
        <v>2031</v>
      </c>
    </row>
    <row r="6" spans="1:44" ht="18.75" customHeight="1">
      <c r="A6" s="79" t="s">
        <v>61</v>
      </c>
      <c r="B6" s="80"/>
      <c r="C6" s="80"/>
      <c r="D6" s="81">
        <v>182527</v>
      </c>
      <c r="E6" s="81">
        <v>257637</v>
      </c>
      <c r="F6" s="82">
        <v>68011</v>
      </c>
      <c r="G6" s="82">
        <v>69685</v>
      </c>
      <c r="H6" s="82">
        <v>69092</v>
      </c>
      <c r="I6" s="82">
        <f>J6-SUM(F6:H6)</f>
        <v>76048</v>
      </c>
      <c r="J6" s="81">
        <v>282836</v>
      </c>
      <c r="K6" s="82">
        <v>69787</v>
      </c>
      <c r="L6" s="82">
        <v>74604</v>
      </c>
      <c r="M6" s="82">
        <v>76693</v>
      </c>
      <c r="N6" s="82">
        <f>O6-SUM(K6:M6)</f>
        <v>86310</v>
      </c>
      <c r="O6" s="81">
        <v>307394</v>
      </c>
      <c r="P6" s="82">
        <v>80539</v>
      </c>
      <c r="Q6" s="82">
        <v>84742</v>
      </c>
      <c r="R6" s="82">
        <v>88268</v>
      </c>
      <c r="S6" s="82">
        <f>T6-SUM(P6:R6)</f>
        <v>96469</v>
      </c>
      <c r="T6" s="81">
        <v>350018</v>
      </c>
      <c r="U6" s="82">
        <v>90234</v>
      </c>
      <c r="V6" s="82">
        <v>96428</v>
      </c>
      <c r="W6" s="82">
        <v>102346</v>
      </c>
      <c r="X6" s="82">
        <f>Y6-SUM(U6:W6)</f>
        <v>113828</v>
      </c>
      <c r="Y6" s="81">
        <v>402836</v>
      </c>
      <c r="Z6" s="82">
        <v>109896</v>
      </c>
      <c r="AA6" s="141">
        <f>'Build Up'!AA6</f>
        <v>119510.96457299999</v>
      </c>
      <c r="AB6" s="141">
        <f>'Build Up'!AB6</f>
        <v>134833.51975993899</v>
      </c>
      <c r="AC6" s="141">
        <f>'Build Up'!AC6</f>
        <v>153408.58598743979</v>
      </c>
      <c r="AD6" s="141">
        <f>'Build Up'!AD6</f>
        <v>517649.07032037876</v>
      </c>
      <c r="AE6" s="141">
        <f>'Build Up'!AE6</f>
        <v>632924.59221626155</v>
      </c>
      <c r="AF6" s="141">
        <f>'Build Up'!AF6</f>
        <v>749787.04113286035</v>
      </c>
      <c r="AG6" s="141">
        <f>'Build Up'!AG6</f>
        <v>860924.23274749389</v>
      </c>
      <c r="AH6" s="141">
        <f>'Build Up'!AH6</f>
        <v>969031.62869556004</v>
      </c>
      <c r="AI6" s="141">
        <f>'Build Up'!AI6</f>
        <v>1067907.8860664896</v>
      </c>
    </row>
    <row r="7" spans="1:44" ht="18.75" customHeight="1">
      <c r="A7" s="93" t="s">
        <v>62</v>
      </c>
      <c r="B7" s="84"/>
      <c r="C7" s="84"/>
      <c r="D7" s="155"/>
      <c r="E7" s="155">
        <f>E6/D6-1</f>
        <v>0.41150076427049154</v>
      </c>
      <c r="F7" s="156"/>
      <c r="G7" s="156"/>
      <c r="H7" s="156"/>
      <c r="I7" s="156"/>
      <c r="J7" s="155">
        <f t="shared" ref="J7:Z7" si="0">J6/E6-1</f>
        <v>9.7808156437157789E-2</v>
      </c>
      <c r="K7" s="156">
        <f t="shared" si="0"/>
        <v>2.6113422828660138E-2</v>
      </c>
      <c r="L7" s="156">
        <f t="shared" si="0"/>
        <v>7.0589079428858392E-2</v>
      </c>
      <c r="M7" s="156">
        <f t="shared" si="0"/>
        <v>0.11001273664100042</v>
      </c>
      <c r="N7" s="156">
        <f t="shared" si="0"/>
        <v>0.13494108983799702</v>
      </c>
      <c r="O7" s="155">
        <f t="shared" si="0"/>
        <v>8.6827702272695095E-2</v>
      </c>
      <c r="P7" s="156">
        <f t="shared" si="0"/>
        <v>0.15406880937710454</v>
      </c>
      <c r="Q7" s="156">
        <f t="shared" si="0"/>
        <v>0.13589083695244231</v>
      </c>
      <c r="R7" s="156">
        <f t="shared" si="0"/>
        <v>0.15092642092498654</v>
      </c>
      <c r="S7" s="156">
        <f t="shared" si="0"/>
        <v>0.11770362646275045</v>
      </c>
      <c r="T7" s="155">
        <f t="shared" si="0"/>
        <v>0.13866243322901561</v>
      </c>
      <c r="U7" s="156">
        <f t="shared" si="0"/>
        <v>0.12037646357665222</v>
      </c>
      <c r="V7" s="156">
        <f t="shared" si="0"/>
        <v>0.13790092280097244</v>
      </c>
      <c r="W7" s="156">
        <f t="shared" si="0"/>
        <v>0.1594915484660353</v>
      </c>
      <c r="X7" s="156">
        <f t="shared" si="0"/>
        <v>0.17994381614819277</v>
      </c>
      <c r="Y7" s="155">
        <f t="shared" si="0"/>
        <v>0.15090081081544371</v>
      </c>
      <c r="Z7" s="156">
        <f t="shared" si="0"/>
        <v>0.21790012633818745</v>
      </c>
      <c r="AA7" s="157">
        <f>AA6/V6-1</f>
        <v>0.23938031041813579</v>
      </c>
      <c r="AB7" s="157">
        <f>AB6/W6-1</f>
        <v>0.3174283290010258</v>
      </c>
      <c r="AC7" s="157">
        <f>AC6/X6-1</f>
        <v>0.34772275703201139</v>
      </c>
      <c r="AD7" s="157">
        <f>AD6/Y6-1</f>
        <v>0.28501194113827655</v>
      </c>
      <c r="AE7" s="157">
        <f>AE6/AD6-1</f>
        <v>0.22269048377607925</v>
      </c>
      <c r="AF7" s="157">
        <f t="shared" ref="AF7:AI7" si="1">AF6/AE6-1</f>
        <v>0.18463881851610608</v>
      </c>
      <c r="AG7" s="157">
        <f t="shared" si="1"/>
        <v>0.14822500992643906</v>
      </c>
      <c r="AH7" s="157">
        <f t="shared" si="1"/>
        <v>0.12557132420707884</v>
      </c>
      <c r="AI7" s="157">
        <f t="shared" si="1"/>
        <v>0.10203615077459305</v>
      </c>
    </row>
    <row r="8" spans="1:44" ht="18.75" customHeight="1">
      <c r="A8" s="93" t="s">
        <v>63</v>
      </c>
      <c r="B8" s="84"/>
      <c r="C8" s="84"/>
      <c r="D8" s="134">
        <v>84732</v>
      </c>
      <c r="E8" s="134">
        <v>110939</v>
      </c>
      <c r="F8" s="135">
        <v>29599</v>
      </c>
      <c r="G8" s="135">
        <v>30104</v>
      </c>
      <c r="H8" s="135">
        <v>31158</v>
      </c>
      <c r="I8" s="135">
        <f>J8-SUM(F8:H8)</f>
        <v>35342</v>
      </c>
      <c r="J8" s="134">
        <v>126203</v>
      </c>
      <c r="K8" s="135">
        <v>30612</v>
      </c>
      <c r="L8" s="135">
        <v>31916</v>
      </c>
      <c r="M8" s="135">
        <v>33229</v>
      </c>
      <c r="N8" s="135">
        <f>O8-SUM(K8:M8)</f>
        <v>37575</v>
      </c>
      <c r="O8" s="134">
        <v>133332</v>
      </c>
      <c r="P8" s="135">
        <v>33712</v>
      </c>
      <c r="Q8" s="135">
        <v>35507</v>
      </c>
      <c r="R8" s="135">
        <v>36474</v>
      </c>
      <c r="S8" s="135">
        <f>T8-SUM(P8:R8)</f>
        <v>40613</v>
      </c>
      <c r="T8" s="134">
        <v>146306</v>
      </c>
      <c r="U8" s="135">
        <v>36361</v>
      </c>
      <c r="V8" s="135">
        <v>39039</v>
      </c>
      <c r="W8" s="135">
        <v>41369</v>
      </c>
      <c r="X8" s="135">
        <f>Y8-SUM(U8:W8)</f>
        <v>45766</v>
      </c>
      <c r="Y8" s="134">
        <v>162535</v>
      </c>
      <c r="Z8" s="135">
        <v>41271</v>
      </c>
      <c r="AA8" s="158">
        <f>'Build Up'!AA50</f>
        <v>43331.861707791722</v>
      </c>
      <c r="AB8" s="158">
        <f>'Build Up'!AB50</f>
        <v>48966.555263750044</v>
      </c>
      <c r="AC8" s="158">
        <f>'Build Up'!AC50</f>
        <v>55687.16373364826</v>
      </c>
      <c r="AD8" s="158">
        <f>'Build Up'!AD50</f>
        <v>189263.18070519003</v>
      </c>
      <c r="AE8" s="158">
        <f>'Build Up'!AE50</f>
        <v>230709.5426619277</v>
      </c>
      <c r="AF8" s="158">
        <f>'Build Up'!AF50</f>
        <v>269268.43384102354</v>
      </c>
      <c r="AG8" s="158">
        <f>'Build Up'!AG50</f>
        <v>304178.06235309463</v>
      </c>
      <c r="AH8" s="158">
        <f>'Build Up'!AH50</f>
        <v>341036.39950052049</v>
      </c>
      <c r="AI8" s="158">
        <f>'Build Up'!AI50</f>
        <v>374216.08939000691</v>
      </c>
      <c r="AJ8" s="153"/>
      <c r="AK8" s="153"/>
      <c r="AL8" s="153"/>
      <c r="AM8" s="147"/>
      <c r="AN8" s="147"/>
      <c r="AO8" s="147"/>
      <c r="AP8" s="147"/>
      <c r="AQ8" s="147"/>
      <c r="AR8" s="147"/>
    </row>
    <row r="9" spans="1:44" ht="18.75" customHeight="1">
      <c r="A9" s="93"/>
      <c r="B9" s="84"/>
      <c r="C9" s="84"/>
      <c r="D9" s="85"/>
      <c r="E9" s="85"/>
      <c r="F9" s="132"/>
      <c r="G9" s="132"/>
      <c r="H9" s="132"/>
      <c r="I9" s="132"/>
      <c r="J9" s="85"/>
      <c r="K9" s="132"/>
      <c r="L9" s="132"/>
      <c r="M9" s="132"/>
      <c r="N9" s="132"/>
      <c r="O9" s="134"/>
      <c r="P9" s="135"/>
      <c r="Q9" s="135"/>
      <c r="R9" s="135"/>
      <c r="S9" s="135"/>
      <c r="T9" s="134"/>
      <c r="U9" s="135"/>
      <c r="V9" s="135"/>
      <c r="W9" s="135"/>
      <c r="X9" s="135"/>
      <c r="Y9" s="134"/>
      <c r="Z9" s="135"/>
      <c r="AA9" s="88"/>
      <c r="AB9" s="88"/>
      <c r="AC9" s="88"/>
      <c r="AD9" s="88"/>
      <c r="AE9" s="88"/>
      <c r="AF9" s="88"/>
      <c r="AG9" s="88"/>
      <c r="AH9" s="88"/>
      <c r="AI9" s="88"/>
    </row>
    <row r="10" spans="1:44" ht="18.75" customHeight="1">
      <c r="A10" s="79" t="s">
        <v>64</v>
      </c>
      <c r="B10" s="80"/>
      <c r="C10" s="80"/>
      <c r="D10" s="159">
        <f t="shared" ref="D10:Z10" si="2">D6-D8</f>
        <v>97795</v>
      </c>
      <c r="E10" s="159">
        <f t="shared" si="2"/>
        <v>146698</v>
      </c>
      <c r="F10" s="160">
        <f t="shared" si="2"/>
        <v>38412</v>
      </c>
      <c r="G10" s="160">
        <f t="shared" si="2"/>
        <v>39581</v>
      </c>
      <c r="H10" s="160">
        <f t="shared" si="2"/>
        <v>37934</v>
      </c>
      <c r="I10" s="160">
        <f t="shared" si="2"/>
        <v>40706</v>
      </c>
      <c r="J10" s="159">
        <f t="shared" si="2"/>
        <v>156633</v>
      </c>
      <c r="K10" s="160">
        <f t="shared" si="2"/>
        <v>39175</v>
      </c>
      <c r="L10" s="160">
        <f t="shared" si="2"/>
        <v>42688</v>
      </c>
      <c r="M10" s="160">
        <f t="shared" si="2"/>
        <v>43464</v>
      </c>
      <c r="N10" s="160">
        <f t="shared" si="2"/>
        <v>48735</v>
      </c>
      <c r="O10" s="159">
        <f t="shared" si="2"/>
        <v>174062</v>
      </c>
      <c r="P10" s="160">
        <f t="shared" si="2"/>
        <v>46827</v>
      </c>
      <c r="Q10" s="160">
        <f t="shared" si="2"/>
        <v>49235</v>
      </c>
      <c r="R10" s="160">
        <f t="shared" si="2"/>
        <v>51794</v>
      </c>
      <c r="S10" s="160">
        <f t="shared" si="2"/>
        <v>55856</v>
      </c>
      <c r="T10" s="159">
        <f t="shared" si="2"/>
        <v>203712</v>
      </c>
      <c r="U10" s="160">
        <f t="shared" si="2"/>
        <v>53873</v>
      </c>
      <c r="V10" s="160">
        <f t="shared" si="2"/>
        <v>57389</v>
      </c>
      <c r="W10" s="160">
        <f t="shared" si="2"/>
        <v>60977</v>
      </c>
      <c r="X10" s="160">
        <f t="shared" si="2"/>
        <v>68062</v>
      </c>
      <c r="Y10" s="159">
        <f t="shared" si="2"/>
        <v>240301</v>
      </c>
      <c r="Z10" s="160">
        <f t="shared" si="2"/>
        <v>68625</v>
      </c>
      <c r="AA10" s="659">
        <f>AA6-AA8</f>
        <v>76179.10286520826</v>
      </c>
      <c r="AB10" s="659">
        <f t="shared" ref="AB10:AI10" si="3">AB6-AB8</f>
        <v>85866.964496188943</v>
      </c>
      <c r="AC10" s="659">
        <f t="shared" si="3"/>
        <v>97721.422253791534</v>
      </c>
      <c r="AD10" s="659">
        <f t="shared" si="3"/>
        <v>328385.8896151887</v>
      </c>
      <c r="AE10" s="659">
        <f t="shared" si="3"/>
        <v>402215.04955433385</v>
      </c>
      <c r="AF10" s="659">
        <f t="shared" si="3"/>
        <v>480518.60729183682</v>
      </c>
      <c r="AG10" s="659">
        <f t="shared" si="3"/>
        <v>556746.1703943992</v>
      </c>
      <c r="AH10" s="659">
        <f t="shared" si="3"/>
        <v>627995.22919503949</v>
      </c>
      <c r="AI10" s="659">
        <f t="shared" si="3"/>
        <v>693691.79667648277</v>
      </c>
    </row>
    <row r="11" spans="1:44" ht="18.75" customHeight="1">
      <c r="A11" s="83"/>
      <c r="B11" s="84"/>
      <c r="C11" s="84"/>
      <c r="D11" s="85"/>
      <c r="E11" s="85"/>
      <c r="F11" s="132"/>
      <c r="G11" s="132"/>
      <c r="H11" s="132"/>
      <c r="I11" s="132"/>
      <c r="J11" s="85"/>
      <c r="K11" s="132"/>
      <c r="L11" s="132"/>
      <c r="M11" s="132"/>
      <c r="N11" s="132"/>
      <c r="O11" s="134"/>
      <c r="P11" s="135"/>
      <c r="Q11" s="135"/>
      <c r="R11" s="135"/>
      <c r="S11" s="135"/>
      <c r="T11" s="134"/>
      <c r="U11" s="135"/>
      <c r="V11" s="135"/>
      <c r="W11" s="135"/>
      <c r="X11" s="135"/>
      <c r="Y11" s="134"/>
      <c r="Z11" s="135"/>
      <c r="AA11" s="88"/>
      <c r="AB11" s="88"/>
      <c r="AC11" s="88"/>
      <c r="AD11" s="88"/>
      <c r="AE11" s="88"/>
      <c r="AF11" s="88"/>
      <c r="AG11" s="88"/>
      <c r="AH11" s="88"/>
      <c r="AI11" s="88"/>
    </row>
    <row r="12" spans="1:44" ht="18.75" customHeight="1">
      <c r="A12" s="93" t="s">
        <v>65</v>
      </c>
      <c r="B12" s="99"/>
      <c r="C12" s="84"/>
      <c r="D12" s="146">
        <f t="shared" ref="D12:Z12" si="4">D13+D14+D15</f>
        <v>56571</v>
      </c>
      <c r="E12" s="146">
        <f t="shared" si="4"/>
        <v>67984</v>
      </c>
      <c r="F12" s="147">
        <f t="shared" si="4"/>
        <v>18318</v>
      </c>
      <c r="G12" s="147">
        <f t="shared" si="4"/>
        <v>20128</v>
      </c>
      <c r="H12" s="147">
        <f t="shared" si="4"/>
        <v>20799</v>
      </c>
      <c r="I12" s="147">
        <f t="shared" si="4"/>
        <v>22546</v>
      </c>
      <c r="J12" s="146">
        <f t="shared" si="4"/>
        <v>81791</v>
      </c>
      <c r="K12" s="147">
        <f t="shared" si="4"/>
        <v>21760</v>
      </c>
      <c r="L12" s="147">
        <f t="shared" si="4"/>
        <v>20850</v>
      </c>
      <c r="M12" s="147">
        <f t="shared" si="4"/>
        <v>22121</v>
      </c>
      <c r="N12" s="147">
        <f t="shared" si="4"/>
        <v>25038</v>
      </c>
      <c r="O12" s="146">
        <f t="shared" si="4"/>
        <v>89769</v>
      </c>
      <c r="P12" s="147">
        <f t="shared" si="4"/>
        <v>21355</v>
      </c>
      <c r="Q12" s="147">
        <f t="shared" si="4"/>
        <v>21810</v>
      </c>
      <c r="R12" s="147">
        <f t="shared" si="4"/>
        <v>23273</v>
      </c>
      <c r="S12" s="147">
        <f t="shared" si="4"/>
        <v>24884</v>
      </c>
      <c r="T12" s="146">
        <f t="shared" si="4"/>
        <v>91322</v>
      </c>
      <c r="U12" s="147">
        <f t="shared" si="4"/>
        <v>23267</v>
      </c>
      <c r="V12" s="147">
        <f t="shared" si="4"/>
        <v>26118</v>
      </c>
      <c r="W12" s="147">
        <f t="shared" si="4"/>
        <v>29749</v>
      </c>
      <c r="X12" s="147">
        <f t="shared" si="4"/>
        <v>32128</v>
      </c>
      <c r="Y12" s="146">
        <f t="shared" si="4"/>
        <v>111262</v>
      </c>
      <c r="Z12" s="147">
        <f>Z13+Z14+Z15</f>
        <v>28929</v>
      </c>
      <c r="AA12" s="158">
        <f>'Build Up'!AA53</f>
        <v>30361.78065239828</v>
      </c>
      <c r="AB12" s="158">
        <f>'Build Up'!AB53</f>
        <v>34309.899266437104</v>
      </c>
      <c r="AC12" s="158">
        <f>'Build Up'!AC53</f>
        <v>39018.897037862385</v>
      </c>
      <c r="AD12" s="158">
        <f>'Build Up'!AD53</f>
        <v>132619.57695669777</v>
      </c>
      <c r="AE12" s="158">
        <f>'Build Up'!AE53</f>
        <v>159299.446123712</v>
      </c>
      <c r="AF12" s="158">
        <f>'Build Up'!AF53</f>
        <v>185923.4424140401</v>
      </c>
      <c r="AG12" s="158">
        <f>'Build Up'!AG53</f>
        <v>210027.70971999393</v>
      </c>
      <c r="AH12" s="158">
        <f>'Build Up'!AH53</f>
        <v>235477.5139408356</v>
      </c>
      <c r="AI12" s="158">
        <f>'Build Up'!AI53</f>
        <v>258387.29981690957</v>
      </c>
      <c r="AO12" s="132"/>
    </row>
    <row r="13" spans="1:44" ht="18.75" customHeight="1">
      <c r="A13" s="93"/>
      <c r="B13" s="99" t="s">
        <v>66</v>
      </c>
      <c r="C13" s="84"/>
      <c r="D13" s="134">
        <v>27573</v>
      </c>
      <c r="E13" s="134">
        <v>31562</v>
      </c>
      <c r="F13" s="135">
        <v>9119</v>
      </c>
      <c r="G13" s="135">
        <v>9841</v>
      </c>
      <c r="H13" s="135">
        <v>10273</v>
      </c>
      <c r="I13" s="135">
        <f>J13-SUM(F13:H13)</f>
        <v>10267</v>
      </c>
      <c r="J13" s="134">
        <v>39500</v>
      </c>
      <c r="K13" s="135">
        <v>11468</v>
      </c>
      <c r="L13" s="135">
        <v>10588</v>
      </c>
      <c r="M13" s="135">
        <v>11258</v>
      </c>
      <c r="N13" s="135">
        <f>O13-SUM(K13:M13)</f>
        <v>12113</v>
      </c>
      <c r="O13" s="134">
        <v>45427</v>
      </c>
      <c r="P13" s="135">
        <v>11903</v>
      </c>
      <c r="Q13" s="135">
        <v>11860</v>
      </c>
      <c r="R13" s="135">
        <v>12447</v>
      </c>
      <c r="S13" s="135">
        <f>T13-SUM(P13:R13)</f>
        <v>13116</v>
      </c>
      <c r="T13" s="134">
        <v>49326</v>
      </c>
      <c r="U13" s="135">
        <v>13556</v>
      </c>
      <c r="V13" s="135">
        <v>13808</v>
      </c>
      <c r="W13" s="135">
        <v>15151</v>
      </c>
      <c r="X13" s="135">
        <f>Y13-SUM(U13:W13)</f>
        <v>18572</v>
      </c>
      <c r="Y13" s="134">
        <v>61087</v>
      </c>
      <c r="Z13" s="135">
        <v>17032</v>
      </c>
      <c r="AA13" s="733">
        <f>AA$12*Z13/SUM(Z$13:Z$15)</f>
        <v>17875.552147383161</v>
      </c>
      <c r="AB13" s="733">
        <f t="shared" ref="AB13:AI13" si="5">AB$12*AA13/SUM(AA$13:AA$15)</f>
        <v>20200.013975801332</v>
      </c>
      <c r="AC13" s="733">
        <f t="shared" si="5"/>
        <v>22972.44475608808</v>
      </c>
      <c r="AD13" s="733">
        <f t="shared" si="5"/>
        <v>78080.010879272566</v>
      </c>
      <c r="AE13" s="733">
        <f t="shared" si="5"/>
        <v>93787.831116839952</v>
      </c>
      <c r="AF13" s="733">
        <f t="shared" si="5"/>
        <v>109462.75609927512</v>
      </c>
      <c r="AG13" s="733">
        <f t="shared" si="5"/>
        <v>123654.18617826182</v>
      </c>
      <c r="AH13" s="733">
        <f t="shared" si="5"/>
        <v>138637.80349961325</v>
      </c>
      <c r="AI13" s="733">
        <f t="shared" si="5"/>
        <v>152125.9805206403</v>
      </c>
      <c r="AJ13" s="646"/>
      <c r="AK13" s="734"/>
    </row>
    <row r="14" spans="1:44" ht="19.5" customHeight="1">
      <c r="A14" s="93"/>
      <c r="B14" s="99" t="s">
        <v>67</v>
      </c>
      <c r="C14" s="84"/>
      <c r="D14" s="134">
        <v>17946</v>
      </c>
      <c r="E14" s="134">
        <v>22912</v>
      </c>
      <c r="F14" s="135">
        <v>5825</v>
      </c>
      <c r="G14" s="135">
        <v>6630</v>
      </c>
      <c r="H14" s="135">
        <v>6929</v>
      </c>
      <c r="I14" s="135">
        <f>J14-SUM(F14:H14)</f>
        <v>7183</v>
      </c>
      <c r="J14" s="134">
        <v>26567</v>
      </c>
      <c r="K14" s="135">
        <v>6533</v>
      </c>
      <c r="L14" s="135">
        <v>6781</v>
      </c>
      <c r="M14" s="135">
        <v>6884</v>
      </c>
      <c r="N14" s="135">
        <f>O14-SUM(K14:M14)</f>
        <v>7719</v>
      </c>
      <c r="O14" s="134">
        <v>27917</v>
      </c>
      <c r="P14" s="135">
        <v>6426</v>
      </c>
      <c r="Q14" s="135">
        <v>6792</v>
      </c>
      <c r="R14" s="135">
        <v>7227</v>
      </c>
      <c r="S14" s="135">
        <f>T14-SUM(P14:R14)</f>
        <v>7363</v>
      </c>
      <c r="T14" s="134">
        <v>27808</v>
      </c>
      <c r="U14" s="135">
        <v>6172</v>
      </c>
      <c r="V14" s="135">
        <v>7101</v>
      </c>
      <c r="W14" s="135">
        <v>7205</v>
      </c>
      <c r="X14" s="135">
        <f>Y14-SUM(U14:W14)</f>
        <v>8215</v>
      </c>
      <c r="Y14" s="134">
        <v>28693</v>
      </c>
      <c r="Z14" s="135">
        <v>7606</v>
      </c>
      <c r="AA14" s="733">
        <f>AA$12*Z14/SUM(Z$13:Z$15)</f>
        <v>7982.7060611200286</v>
      </c>
      <c r="AB14" s="733">
        <f t="shared" ref="AB14:AI14" si="6">AB$12*AA14/SUM(AA$13:AA$15)</f>
        <v>9020.7436766055034</v>
      </c>
      <c r="AC14" s="733">
        <f t="shared" si="6"/>
        <v>10258.831306646662</v>
      </c>
      <c r="AD14" s="733">
        <f t="shared" si="6"/>
        <v>34868.28104437219</v>
      </c>
      <c r="AE14" s="733">
        <f t="shared" si="6"/>
        <v>41882.940551590225</v>
      </c>
      <c r="AF14" s="733">
        <f t="shared" si="6"/>
        <v>48882.909986559818</v>
      </c>
      <c r="AG14" s="733">
        <f t="shared" si="6"/>
        <v>55220.393381391477</v>
      </c>
      <c r="AH14" s="733">
        <f t="shared" si="6"/>
        <v>61911.644752117107</v>
      </c>
      <c r="AI14" s="733">
        <f t="shared" si="6"/>
        <v>67935.075612963265</v>
      </c>
      <c r="AJ14" s="646"/>
    </row>
    <row r="15" spans="1:44" ht="19.5" customHeight="1">
      <c r="A15" s="93"/>
      <c r="B15" s="99" t="s">
        <v>68</v>
      </c>
      <c r="C15" s="84"/>
      <c r="D15" s="134">
        <v>11052</v>
      </c>
      <c r="E15" s="134">
        <v>13510</v>
      </c>
      <c r="F15" s="135">
        <v>3374</v>
      </c>
      <c r="G15" s="135">
        <v>3657</v>
      </c>
      <c r="H15" s="135">
        <v>3597</v>
      </c>
      <c r="I15" s="135">
        <f>J15-SUM(F15:H15)</f>
        <v>5096</v>
      </c>
      <c r="J15" s="134">
        <v>15724</v>
      </c>
      <c r="K15" s="135">
        <v>3759</v>
      </c>
      <c r="L15" s="135">
        <v>3481</v>
      </c>
      <c r="M15" s="135">
        <v>3979</v>
      </c>
      <c r="N15" s="135">
        <f>O15-SUM(K15:M15)</f>
        <v>5206</v>
      </c>
      <c r="O15" s="134">
        <v>16425</v>
      </c>
      <c r="P15" s="135">
        <v>3026</v>
      </c>
      <c r="Q15" s="135">
        <v>3158</v>
      </c>
      <c r="R15" s="135">
        <v>3599</v>
      </c>
      <c r="S15" s="135">
        <f>T15-SUM(P15:R15)</f>
        <v>4405</v>
      </c>
      <c r="T15" s="134">
        <v>14188</v>
      </c>
      <c r="U15" s="135">
        <v>3539</v>
      </c>
      <c r="V15" s="135">
        <v>5209</v>
      </c>
      <c r="W15" s="135">
        <v>7393</v>
      </c>
      <c r="X15" s="135">
        <f>Y15-SUM(U15:W15)</f>
        <v>5341</v>
      </c>
      <c r="Y15" s="134">
        <v>21482</v>
      </c>
      <c r="Z15" s="135">
        <v>4291</v>
      </c>
      <c r="AA15" s="733">
        <f>AA$12*Z15/SUM(Z$13:Z$15)</f>
        <v>4503.5224438950881</v>
      </c>
      <c r="AB15" s="733">
        <f t="shared" ref="AB15:AI15" si="7">AB$12*AA15/SUM(AA$13:AA$15)</f>
        <v>5089.1416140302663</v>
      </c>
      <c r="AC15" s="733">
        <f t="shared" si="7"/>
        <v>5787.6209751276383</v>
      </c>
      <c r="AD15" s="733">
        <f t="shared" si="7"/>
        <v>19671.285033052991</v>
      </c>
      <c r="AE15" s="733">
        <f t="shared" si="7"/>
        <v>23628.674455281835</v>
      </c>
      <c r="AF15" s="733">
        <f t="shared" si="7"/>
        <v>27577.77632820512</v>
      </c>
      <c r="AG15" s="733">
        <f t="shared" si="7"/>
        <v>31153.130160340628</v>
      </c>
      <c r="AH15" s="733">
        <f t="shared" si="7"/>
        <v>34928.065689105249</v>
      </c>
      <c r="AI15" s="733">
        <f t="shared" si="7"/>
        <v>38326.243683305998</v>
      </c>
      <c r="AJ15" s="646"/>
    </row>
    <row r="16" spans="1:44" ht="18.75" customHeight="1">
      <c r="A16" s="93"/>
      <c r="B16" s="84"/>
      <c r="C16" s="84"/>
      <c r="D16" s="85"/>
      <c r="E16" s="85"/>
      <c r="F16" s="132"/>
      <c r="G16" s="132"/>
      <c r="H16" s="132"/>
      <c r="I16" s="132"/>
      <c r="J16" s="85"/>
      <c r="K16" s="132"/>
      <c r="L16" s="132"/>
      <c r="M16" s="132"/>
      <c r="N16" s="132"/>
      <c r="O16" s="134"/>
      <c r="P16" s="135"/>
      <c r="Q16" s="135"/>
      <c r="R16" s="135"/>
      <c r="S16" s="135"/>
      <c r="T16" s="134"/>
      <c r="U16" s="135"/>
      <c r="V16" s="135"/>
      <c r="W16" s="135"/>
      <c r="X16" s="135"/>
      <c r="Y16" s="134"/>
      <c r="Z16" s="135"/>
      <c r="AA16" s="88"/>
      <c r="AB16" s="88"/>
      <c r="AC16" s="88"/>
      <c r="AD16" s="88"/>
      <c r="AE16" s="88"/>
      <c r="AF16" s="88"/>
      <c r="AG16" s="88"/>
      <c r="AH16" s="88"/>
      <c r="AI16" s="88"/>
    </row>
    <row r="17" spans="1:54" ht="19.5" customHeight="1">
      <c r="A17" s="162" t="s">
        <v>69</v>
      </c>
      <c r="B17" s="80"/>
      <c r="C17" s="80"/>
      <c r="D17" s="81">
        <v>41224</v>
      </c>
      <c r="E17" s="81">
        <v>78714</v>
      </c>
      <c r="F17" s="82">
        <f>F10-F12</f>
        <v>20094</v>
      </c>
      <c r="G17" s="82">
        <f>G10-G12</f>
        <v>19453</v>
      </c>
      <c r="H17" s="82">
        <f>H10-H12</f>
        <v>17135</v>
      </c>
      <c r="I17" s="82">
        <f>I10-I12</f>
        <v>18160</v>
      </c>
      <c r="J17" s="81">
        <v>74842</v>
      </c>
      <c r="K17" s="82">
        <f>K10-K12</f>
        <v>17415</v>
      </c>
      <c r="L17" s="82">
        <f>L10-L12</f>
        <v>21838</v>
      </c>
      <c r="M17" s="82">
        <f>M10-M12</f>
        <v>21343</v>
      </c>
      <c r="N17" s="82">
        <f>N10-N12</f>
        <v>23697</v>
      </c>
      <c r="O17" s="81">
        <v>84293</v>
      </c>
      <c r="P17" s="82">
        <f>P10-P12</f>
        <v>25472</v>
      </c>
      <c r="Q17" s="82">
        <f>Q10-Q12</f>
        <v>27425</v>
      </c>
      <c r="R17" s="82">
        <f>R10-R12</f>
        <v>28521</v>
      </c>
      <c r="S17" s="82">
        <f>S10-S12</f>
        <v>30972</v>
      </c>
      <c r="T17" s="81">
        <v>112390</v>
      </c>
      <c r="U17" s="82">
        <f>U10-U12</f>
        <v>30606</v>
      </c>
      <c r="V17" s="82">
        <f>V10-V12</f>
        <v>31271</v>
      </c>
      <c r="W17" s="82">
        <f>W10-W12</f>
        <v>31228</v>
      </c>
      <c r="X17" s="82">
        <f>X10-X12</f>
        <v>35934</v>
      </c>
      <c r="Y17" s="81">
        <v>129039</v>
      </c>
      <c r="Z17" s="82">
        <f>Z10-Z12</f>
        <v>39696</v>
      </c>
      <c r="AA17" s="141">
        <f>'Build Up'!AA32</f>
        <v>45817.322212809988</v>
      </c>
      <c r="AB17" s="141">
        <f>'Build Up'!AB32</f>
        <v>51557.065229751832</v>
      </c>
      <c r="AC17" s="141">
        <f>'Build Up'!AC32</f>
        <v>58702.525215929149</v>
      </c>
      <c r="AD17" s="141">
        <f>'Build Up'!AD32</f>
        <v>195772.91265849097</v>
      </c>
      <c r="AE17" s="141">
        <f>'Build Up'!AE32</f>
        <v>240561.42442386752</v>
      </c>
      <c r="AF17" s="141">
        <f>'Build Up'!AF32</f>
        <v>291847.52779778629</v>
      </c>
      <c r="AG17" s="141">
        <f>'Build Up'!AG32</f>
        <v>343614.6028952921</v>
      </c>
      <c r="AH17" s="141">
        <f>'Build Up'!AH32</f>
        <v>389037.75199399464</v>
      </c>
      <c r="AI17" s="141">
        <f>'Build Up'!AI32</f>
        <v>431485.96533518529</v>
      </c>
    </row>
    <row r="18" spans="1:54" ht="19.5" customHeight="1">
      <c r="A18" s="93"/>
      <c r="B18" s="84"/>
      <c r="C18" s="84"/>
      <c r="D18" s="85"/>
      <c r="E18" s="85"/>
      <c r="F18" s="132"/>
      <c r="G18" s="132"/>
      <c r="H18" s="132"/>
      <c r="I18" s="132"/>
      <c r="J18" s="163"/>
      <c r="K18" s="164"/>
      <c r="L18" s="164"/>
      <c r="M18" s="164"/>
      <c r="N18" s="164"/>
      <c r="O18" s="134"/>
      <c r="P18" s="135"/>
      <c r="Q18" s="135"/>
      <c r="R18" s="135"/>
      <c r="S18" s="135"/>
      <c r="T18" s="134"/>
      <c r="U18" s="135"/>
      <c r="V18" s="135"/>
      <c r="W18" s="135"/>
      <c r="X18" s="135"/>
      <c r="Y18" s="134"/>
      <c r="Z18" s="135"/>
      <c r="AA18" s="88"/>
      <c r="AB18" s="88"/>
      <c r="AC18" s="88"/>
      <c r="AD18" s="88"/>
      <c r="AE18" s="88"/>
      <c r="AF18" s="88"/>
      <c r="AG18" s="88"/>
      <c r="AH18" s="88"/>
      <c r="AI18" s="88"/>
    </row>
    <row r="19" spans="1:54" ht="19.5" customHeight="1">
      <c r="A19" s="93" t="s">
        <v>70</v>
      </c>
      <c r="B19" s="84"/>
      <c r="C19" s="84"/>
      <c r="D19" s="134">
        <v>6858</v>
      </c>
      <c r="E19" s="134">
        <v>12020</v>
      </c>
      <c r="F19" s="135">
        <v>-1160</v>
      </c>
      <c r="G19" s="135">
        <v>-439</v>
      </c>
      <c r="H19" s="135">
        <v>-902</v>
      </c>
      <c r="I19" s="135">
        <f>J19-SUM(F19:H19)</f>
        <v>-1013</v>
      </c>
      <c r="J19" s="134">
        <v>-3514</v>
      </c>
      <c r="K19" s="135">
        <v>790</v>
      </c>
      <c r="L19" s="135">
        <v>65</v>
      </c>
      <c r="M19" s="135">
        <v>-146</v>
      </c>
      <c r="N19" s="135">
        <f>O19-SUM(K19:M19)</f>
        <v>715</v>
      </c>
      <c r="O19" s="134">
        <v>1424</v>
      </c>
      <c r="P19" s="135">
        <v>2843</v>
      </c>
      <c r="Q19" s="135">
        <v>126</v>
      </c>
      <c r="R19" s="135">
        <v>3185</v>
      </c>
      <c r="S19" s="135">
        <f>T19-SUM(P19:R19)</f>
        <v>1271</v>
      </c>
      <c r="T19" s="134">
        <v>7425</v>
      </c>
      <c r="U19" s="135">
        <v>11183</v>
      </c>
      <c r="V19" s="135">
        <v>2662</v>
      </c>
      <c r="W19" s="135">
        <v>12759</v>
      </c>
      <c r="X19" s="135">
        <f>Y19-SUM(U19:W19)</f>
        <v>3183</v>
      </c>
      <c r="Y19" s="134">
        <v>29787</v>
      </c>
      <c r="Z19" s="135">
        <v>37716</v>
      </c>
      <c r="AA19" s="158">
        <f ca="1">SUM(AA20:AA23)</f>
        <v>3464.8552243812837</v>
      </c>
      <c r="AB19" s="158">
        <f t="shared" ref="AB19:AI19" ca="1" si="8">SUM(AB20:AB23)</f>
        <v>2228.0046492277693</v>
      </c>
      <c r="AC19" s="158">
        <f t="shared" ca="1" si="8"/>
        <v>7130.40416060805</v>
      </c>
      <c r="AD19" s="158">
        <f t="shared" ca="1" si="8"/>
        <v>50539.2640342171</v>
      </c>
      <c r="AE19" s="158">
        <f t="shared" ca="1" si="8"/>
        <v>2524.0119725668715</v>
      </c>
      <c r="AF19" s="158">
        <f t="shared" ca="1" si="8"/>
        <v>-440.32189912449167</v>
      </c>
      <c r="AG19" s="158">
        <f t="shared" ca="1" si="8"/>
        <v>10855.90503394089</v>
      </c>
      <c r="AH19" s="158">
        <f t="shared" ca="1" si="8"/>
        <v>3572.9112659344064</v>
      </c>
      <c r="AI19" s="158">
        <f t="shared" ca="1" si="8"/>
        <v>822.46911016681543</v>
      </c>
      <c r="AK19" s="744"/>
      <c r="AL19" s="744"/>
      <c r="AM19" s="744"/>
      <c r="AN19" s="742"/>
      <c r="AO19" s="742"/>
      <c r="AP19" s="742"/>
      <c r="AQ19" s="744"/>
      <c r="AR19" s="744"/>
      <c r="AS19" s="744"/>
      <c r="AT19" s="742"/>
      <c r="AU19" s="742"/>
      <c r="AV19" s="742"/>
      <c r="AW19" s="744"/>
      <c r="AX19" s="744"/>
      <c r="AY19" s="744"/>
    </row>
    <row r="20" spans="1:54" ht="19.5" customHeight="1">
      <c r="A20" s="93"/>
      <c r="B20" s="133" t="s">
        <v>71</v>
      </c>
      <c r="C20" s="84"/>
      <c r="D20" s="134">
        <v>-135</v>
      </c>
      <c r="E20" s="134">
        <v>-346</v>
      </c>
      <c r="F20" s="135">
        <v>-83</v>
      </c>
      <c r="G20" s="135">
        <v>-83</v>
      </c>
      <c r="H20" s="135">
        <v>-101</v>
      </c>
      <c r="I20" s="135">
        <f>J20-SUM(F20:H20)</f>
        <v>-90</v>
      </c>
      <c r="J20" s="134">
        <v>-357</v>
      </c>
      <c r="K20" s="135">
        <v>-80</v>
      </c>
      <c r="L20" s="135">
        <v>-43</v>
      </c>
      <c r="M20" s="135">
        <v>-116</v>
      </c>
      <c r="N20" s="135">
        <f>O20-SUM(K20:M20)</f>
        <v>-69</v>
      </c>
      <c r="O20" s="134">
        <v>-308</v>
      </c>
      <c r="P20" s="135">
        <v>-94</v>
      </c>
      <c r="Q20" s="135">
        <v>-67</v>
      </c>
      <c r="R20" s="135">
        <v>-54</v>
      </c>
      <c r="S20" s="135">
        <f>T20-SUM(P20:R20)</f>
        <v>-53</v>
      </c>
      <c r="T20" s="134">
        <v>-268</v>
      </c>
      <c r="U20" s="135">
        <v>-34</v>
      </c>
      <c r="V20" s="135">
        <v>-261</v>
      </c>
      <c r="W20" s="135">
        <v>-143</v>
      </c>
      <c r="X20" s="135">
        <f>Y20-SUM(U20:W20)</f>
        <v>-298</v>
      </c>
      <c r="Y20" s="134">
        <v>-736</v>
      </c>
      <c r="Z20" s="135">
        <v>-533</v>
      </c>
      <c r="AA20" s="158">
        <f>'Debt Schedule'!W15</f>
        <v>-796.306623167917</v>
      </c>
      <c r="AB20" s="158">
        <f>'Debt Schedule'!X15</f>
        <v>-836.1219543263129</v>
      </c>
      <c r="AC20" s="158">
        <f>'Debt Schedule'!Y15</f>
        <v>-877.92805204262856</v>
      </c>
      <c r="AD20" s="158">
        <f>'Debt Schedule'!Z15</f>
        <v>-3043.3566295368587</v>
      </c>
      <c r="AE20" s="158">
        <f>'Debt Schedule'!AA15</f>
        <v>-3919.9546896446168</v>
      </c>
      <c r="AF20" s="158">
        <f>'Debt Schedule'!AB15</f>
        <v>-4233.5510648161862</v>
      </c>
      <c r="AG20" s="158">
        <f>'Debt Schedule'!AC15</f>
        <v>-4487.5641287051585</v>
      </c>
      <c r="AH20" s="158">
        <f>'Debt Schedule'!AD15</f>
        <v>-4667.0666938533641</v>
      </c>
      <c r="AI20" s="158">
        <f>'Debt Schedule'!AE15</f>
        <v>-4760.408027730432</v>
      </c>
      <c r="AK20" s="741"/>
      <c r="AL20" s="741"/>
      <c r="AM20" s="741"/>
      <c r="AN20" s="90"/>
      <c r="AO20" s="91"/>
      <c r="AP20" s="165"/>
      <c r="AQ20" s="742"/>
      <c r="AR20" s="742"/>
      <c r="AS20" s="742"/>
      <c r="AT20" s="90"/>
      <c r="AU20" s="91"/>
      <c r="AV20" s="165"/>
      <c r="AW20" s="742"/>
      <c r="AX20" s="742"/>
      <c r="AY20" s="742"/>
      <c r="AZ20" s="90"/>
      <c r="BA20" s="91"/>
      <c r="BB20" s="165"/>
    </row>
    <row r="21" spans="1:54" ht="19.5" customHeight="1">
      <c r="A21" s="93"/>
      <c r="B21" s="133" t="s">
        <v>72</v>
      </c>
      <c r="C21" s="84"/>
      <c r="D21" s="134">
        <v>1865</v>
      </c>
      <c r="E21" s="134">
        <v>1499</v>
      </c>
      <c r="F21" s="135">
        <v>414</v>
      </c>
      <c r="G21" s="135">
        <v>486</v>
      </c>
      <c r="H21" s="135">
        <v>615</v>
      </c>
      <c r="I21" s="135">
        <f>J21-SUM(F21:H21)</f>
        <v>659</v>
      </c>
      <c r="J21" s="134">
        <v>2174</v>
      </c>
      <c r="K21" s="135">
        <v>797</v>
      </c>
      <c r="L21" s="135">
        <v>892</v>
      </c>
      <c r="M21" s="135">
        <v>1066</v>
      </c>
      <c r="N21" s="135">
        <f>O21-SUM(K21:M21)</f>
        <v>930</v>
      </c>
      <c r="O21" s="134">
        <v>3685</v>
      </c>
      <c r="P21" s="135">
        <v>1061</v>
      </c>
      <c r="Q21" s="135">
        <v>1090</v>
      </c>
      <c r="R21" s="135">
        <v>1243</v>
      </c>
      <c r="S21" s="135">
        <f>T21-SUM(P21:R21)</f>
        <v>1088</v>
      </c>
      <c r="T21" s="134">
        <v>4482</v>
      </c>
      <c r="U21" s="135">
        <v>1001</v>
      </c>
      <c r="V21" s="135">
        <v>1050</v>
      </c>
      <c r="W21" s="135">
        <v>1076</v>
      </c>
      <c r="X21" s="135">
        <f>Y21-SUM(U21:W21)</f>
        <v>1210</v>
      </c>
      <c r="Y21" s="134">
        <v>4337</v>
      </c>
      <c r="Z21" s="135">
        <v>1381</v>
      </c>
      <c r="AA21" s="158">
        <f ca="1">'Debt Schedule'!W18</f>
        <v>2216.1618475492005</v>
      </c>
      <c r="AB21" s="158">
        <f ca="1">'Debt Schedule'!X18</f>
        <v>2143.1266035540821</v>
      </c>
      <c r="AC21" s="158">
        <f ca="1">'Debt Schedule'!Y18</f>
        <v>1948.3322126506782</v>
      </c>
      <c r="AD21" s="158">
        <f ca="1">'Debt Schedule'!Z18</f>
        <v>7688.6206637539608</v>
      </c>
      <c r="AE21" s="158">
        <f ca="1">'Debt Schedule'!AA18</f>
        <v>4958.2166622114883</v>
      </c>
      <c r="AF21" s="158">
        <f ca="1">'Debt Schedule'!AB18</f>
        <v>2585.2291656916946</v>
      </c>
      <c r="AG21" s="158">
        <f ca="1">'Debt Schedule'!AC18</f>
        <v>760.21916264604783</v>
      </c>
      <c r="AH21" s="158">
        <f ca="1">'Debt Schedule'!AD18</f>
        <v>2188.4779597877705</v>
      </c>
      <c r="AI21" s="158">
        <f ca="1">'Debt Schedule'!AE18</f>
        <v>4042.3771378972474</v>
      </c>
      <c r="AK21" s="745"/>
      <c r="AL21" s="745"/>
      <c r="AM21" s="745"/>
      <c r="AN21" s="740"/>
      <c r="AO21" s="740"/>
      <c r="AP21" s="165"/>
      <c r="AQ21" s="742"/>
      <c r="AR21" s="742"/>
      <c r="AS21" s="742"/>
      <c r="AT21" s="740"/>
      <c r="AU21" s="740"/>
      <c r="AV21" s="165"/>
      <c r="AW21" s="742"/>
      <c r="AX21" s="742"/>
      <c r="AY21" s="742"/>
      <c r="AZ21" s="740"/>
      <c r="BA21" s="740"/>
      <c r="BB21" s="165"/>
    </row>
    <row r="22" spans="1:54" ht="25.5" customHeight="1">
      <c r="A22" s="93"/>
      <c r="B22" s="133" t="s">
        <v>73</v>
      </c>
      <c r="C22" s="84"/>
      <c r="D22" s="134">
        <v>-344</v>
      </c>
      <c r="E22" s="134">
        <v>-240</v>
      </c>
      <c r="F22" s="135">
        <v>-73</v>
      </c>
      <c r="G22" s="135">
        <v>-260</v>
      </c>
      <c r="H22" s="135">
        <v>-136</v>
      </c>
      <c r="I22" s="135">
        <f>J22-SUM(F22:H22)</f>
        <v>-185</v>
      </c>
      <c r="J22" s="134">
        <v>-654</v>
      </c>
      <c r="K22" s="135">
        <v>-210</v>
      </c>
      <c r="L22" s="135">
        <v>-268</v>
      </c>
      <c r="M22" s="135">
        <v>-311</v>
      </c>
      <c r="N22" s="135">
        <f>O22-SUM(K22:M22)</f>
        <v>-449</v>
      </c>
      <c r="O22" s="134">
        <v>-1238</v>
      </c>
      <c r="P22" s="135">
        <v>-238</v>
      </c>
      <c r="Q22" s="135">
        <v>-173</v>
      </c>
      <c r="R22" s="135">
        <v>23</v>
      </c>
      <c r="S22" s="135">
        <f>T22-SUM(P22:R22)</f>
        <v>-21</v>
      </c>
      <c r="T22" s="134">
        <v>-409</v>
      </c>
      <c r="U22" s="135">
        <v>-106</v>
      </c>
      <c r="V22" s="135">
        <v>-69</v>
      </c>
      <c r="W22" s="135">
        <v>-143</v>
      </c>
      <c r="X22" s="135">
        <f>Y22-SUM(U22:W22)</f>
        <v>-64</v>
      </c>
      <c r="Y22" s="134">
        <v>-382</v>
      </c>
      <c r="Z22" s="135">
        <v>146</v>
      </c>
      <c r="AA22" s="158">
        <f>MEDIAN(Z22,U22:X22,P22:S22)</f>
        <v>-69</v>
      </c>
      <c r="AB22" s="158">
        <f>MEDIAN(Y22,T22,O22,J22)</f>
        <v>-531.5</v>
      </c>
      <c r="AC22" s="158">
        <f>MEDIAN(Z22,U22,P22,K22)</f>
        <v>-158</v>
      </c>
      <c r="AD22" s="158">
        <f>SUM(Z22:AC22)</f>
        <v>-612.5</v>
      </c>
      <c r="AE22" s="158">
        <f>MEDIAN(AB22,W22,R22,M22)</f>
        <v>-227</v>
      </c>
      <c r="AF22" s="158">
        <f>MEDIAN(AC22,X22,S22,N22)</f>
        <v>-111</v>
      </c>
      <c r="AG22" s="158">
        <f>MEDIAN(AD22,Y22,T22,O22)</f>
        <v>-510.75</v>
      </c>
      <c r="AH22" s="158">
        <f t="shared" ref="AE22:AI22" si="9">MEDIAN(AE22,Z22,U22,P22)</f>
        <v>-166.5</v>
      </c>
      <c r="AI22" s="158">
        <f t="shared" si="9"/>
        <v>-90</v>
      </c>
      <c r="AJ22" s="663"/>
      <c r="AK22" s="741"/>
      <c r="AL22" s="741"/>
      <c r="AM22" s="741"/>
      <c r="AN22" s="743"/>
      <c r="AO22" s="743"/>
      <c r="AP22" s="165"/>
      <c r="AQ22" s="742"/>
      <c r="AR22" s="742"/>
      <c r="AS22" s="742"/>
      <c r="AT22" s="740"/>
      <c r="AU22" s="740"/>
      <c r="AV22" s="165"/>
      <c r="AW22" s="742"/>
      <c r="AX22" s="742"/>
      <c r="AY22" s="742"/>
      <c r="AZ22" s="740"/>
      <c r="BA22" s="740"/>
      <c r="BB22" s="165"/>
    </row>
    <row r="23" spans="1:54" ht="19.5" customHeight="1">
      <c r="A23" s="93"/>
      <c r="B23" s="133" t="s">
        <v>74</v>
      </c>
      <c r="C23" s="84"/>
      <c r="D23" s="134">
        <f t="shared" ref="D23:Z23" si="10">D19-D20-D21-D22</f>
        <v>5472</v>
      </c>
      <c r="E23" s="134">
        <f t="shared" si="10"/>
        <v>11107</v>
      </c>
      <c r="F23" s="135">
        <f t="shared" si="10"/>
        <v>-1418</v>
      </c>
      <c r="G23" s="135">
        <f t="shared" si="10"/>
        <v>-582</v>
      </c>
      <c r="H23" s="135">
        <f t="shared" si="10"/>
        <v>-1280</v>
      </c>
      <c r="I23" s="135">
        <f t="shared" si="10"/>
        <v>-1397</v>
      </c>
      <c r="J23" s="134">
        <f t="shared" si="10"/>
        <v>-4677</v>
      </c>
      <c r="K23" s="135">
        <f t="shared" si="10"/>
        <v>283</v>
      </c>
      <c r="L23" s="135">
        <f t="shared" si="10"/>
        <v>-516</v>
      </c>
      <c r="M23" s="135">
        <f t="shared" si="10"/>
        <v>-785</v>
      </c>
      <c r="N23" s="135">
        <f t="shared" si="10"/>
        <v>303</v>
      </c>
      <c r="O23" s="134">
        <f t="shared" si="10"/>
        <v>-715</v>
      </c>
      <c r="P23" s="135">
        <f t="shared" si="10"/>
        <v>2114</v>
      </c>
      <c r="Q23" s="135">
        <f t="shared" si="10"/>
        <v>-724</v>
      </c>
      <c r="R23" s="135">
        <f t="shared" si="10"/>
        <v>1973</v>
      </c>
      <c r="S23" s="135">
        <f t="shared" si="10"/>
        <v>257</v>
      </c>
      <c r="T23" s="134">
        <f t="shared" si="10"/>
        <v>3620</v>
      </c>
      <c r="U23" s="135">
        <f t="shared" si="10"/>
        <v>10322</v>
      </c>
      <c r="V23" s="135">
        <f t="shared" si="10"/>
        <v>1942</v>
      </c>
      <c r="W23" s="135">
        <f t="shared" si="10"/>
        <v>11969</v>
      </c>
      <c r="X23" s="135">
        <f t="shared" si="10"/>
        <v>2335</v>
      </c>
      <c r="Y23" s="134">
        <f t="shared" si="10"/>
        <v>26568</v>
      </c>
      <c r="Z23" s="135">
        <f t="shared" si="10"/>
        <v>36722</v>
      </c>
      <c r="AA23" s="158">
        <f>MEDIAN(Z23,U23:X23,P23:S23)</f>
        <v>2114</v>
      </c>
      <c r="AB23" s="158">
        <f>MEDIAN(Y23,T23,O23,J23)</f>
        <v>1452.5</v>
      </c>
      <c r="AC23" s="158">
        <f>MEDIAN(Z23,U23,P23,K23)</f>
        <v>6218</v>
      </c>
      <c r="AD23" s="158">
        <f>SUM(Z23:AC23)</f>
        <v>46506.5</v>
      </c>
      <c r="AE23" s="158">
        <f t="shared" ref="AE23" si="11">MEDIAN(AB23,W23,R23,M23)</f>
        <v>1712.75</v>
      </c>
      <c r="AF23" s="158">
        <f t="shared" ref="AF23" si="12">MEDIAN(AC23,X23,S23,N23)</f>
        <v>1319</v>
      </c>
      <c r="AG23" s="158">
        <f t="shared" ref="AG23" si="13">MEDIAN(AD23,Y23,T23,O23)</f>
        <v>15094</v>
      </c>
      <c r="AH23" s="158">
        <f t="shared" ref="AH23" si="14">MEDIAN(AE23,Z23,U23,P23)</f>
        <v>6218</v>
      </c>
      <c r="AI23" s="158">
        <f t="shared" ref="AI23" si="15">MEDIAN(AF23,AA23,V23,Q23)</f>
        <v>1630.5</v>
      </c>
      <c r="AK23" s="741"/>
      <c r="AL23" s="741"/>
      <c r="AM23" s="741"/>
      <c r="AN23" s="743"/>
      <c r="AO23" s="743"/>
      <c r="AP23" s="165"/>
      <c r="AQ23" s="742"/>
      <c r="AR23" s="742"/>
      <c r="AS23" s="742"/>
      <c r="AT23" s="743"/>
      <c r="AU23" s="743"/>
      <c r="AV23" s="165"/>
      <c r="AW23" s="742"/>
      <c r="AX23" s="742"/>
      <c r="AY23" s="742"/>
      <c r="AZ23" s="740"/>
      <c r="BA23" s="740"/>
      <c r="BB23" s="165"/>
    </row>
    <row r="24" spans="1:54" ht="19.5" customHeight="1">
      <c r="A24" s="93"/>
      <c r="B24" s="84"/>
      <c r="C24" s="84"/>
      <c r="D24" s="85"/>
      <c r="E24" s="85"/>
      <c r="F24" s="132"/>
      <c r="G24" s="132"/>
      <c r="H24" s="132"/>
      <c r="I24" s="132"/>
      <c r="J24" s="85"/>
      <c r="K24" s="132"/>
      <c r="L24" s="132"/>
      <c r="M24" s="132"/>
      <c r="N24" s="132"/>
      <c r="O24" s="134"/>
      <c r="P24" s="135"/>
      <c r="Q24" s="135"/>
      <c r="R24" s="135"/>
      <c r="S24" s="135"/>
      <c r="T24" s="134"/>
      <c r="U24" s="135"/>
      <c r="V24" s="135"/>
      <c r="W24" s="135"/>
      <c r="X24" s="135"/>
      <c r="Y24" s="134"/>
      <c r="Z24" s="135"/>
      <c r="AA24" s="88"/>
      <c r="AB24" s="88"/>
      <c r="AC24" s="88"/>
      <c r="AD24" s="88"/>
      <c r="AE24" s="88"/>
      <c r="AF24" s="88"/>
      <c r="AG24" s="88"/>
      <c r="AH24" s="88"/>
      <c r="AI24" s="88"/>
      <c r="AK24" s="741"/>
      <c r="AL24" s="741"/>
      <c r="AM24" s="741"/>
      <c r="AN24" s="740"/>
      <c r="AO24" s="740"/>
      <c r="AP24" s="165"/>
      <c r="AQ24" s="742"/>
      <c r="AR24" s="742"/>
      <c r="AS24" s="742"/>
      <c r="AT24" s="740"/>
      <c r="AU24" s="740"/>
      <c r="AV24" s="165"/>
      <c r="AW24" s="742"/>
      <c r="AX24" s="742"/>
      <c r="AY24" s="742"/>
      <c r="AZ24" s="740"/>
      <c r="BA24" s="740"/>
      <c r="BB24" s="165"/>
    </row>
    <row r="25" spans="1:54" s="154" customFormat="1" ht="25.5" customHeight="1">
      <c r="A25" s="79" t="s">
        <v>75</v>
      </c>
      <c r="B25" s="80"/>
      <c r="C25" s="80"/>
      <c r="D25" s="81">
        <v>48082</v>
      </c>
      <c r="E25" s="81">
        <v>90734</v>
      </c>
      <c r="F25" s="82">
        <f>F17+F19</f>
        <v>18934</v>
      </c>
      <c r="G25" s="82">
        <f>G17+G19</f>
        <v>19014</v>
      </c>
      <c r="H25" s="82">
        <f>H17+H19</f>
        <v>16233</v>
      </c>
      <c r="I25" s="82">
        <f>I17+I19</f>
        <v>17147</v>
      </c>
      <c r="J25" s="81">
        <v>71328</v>
      </c>
      <c r="K25" s="82">
        <f>K17+K19</f>
        <v>18205</v>
      </c>
      <c r="L25" s="82">
        <f>L17+L19</f>
        <v>21903</v>
      </c>
      <c r="M25" s="82">
        <f>M17+M19</f>
        <v>21197</v>
      </c>
      <c r="N25" s="82">
        <f>N17+N19</f>
        <v>24412</v>
      </c>
      <c r="O25" s="81">
        <v>85717</v>
      </c>
      <c r="P25" s="82">
        <f>P17+P19</f>
        <v>28315</v>
      </c>
      <c r="Q25" s="82">
        <f>Q17+Q19</f>
        <v>27551</v>
      </c>
      <c r="R25" s="82">
        <f>R17+R19</f>
        <v>31706</v>
      </c>
      <c r="S25" s="82">
        <f>S17+S19</f>
        <v>32243</v>
      </c>
      <c r="T25" s="81">
        <v>119815</v>
      </c>
      <c r="U25" s="82">
        <f>U17+U19</f>
        <v>41789</v>
      </c>
      <c r="V25" s="82">
        <f>V17+V19</f>
        <v>33933</v>
      </c>
      <c r="W25" s="82">
        <f>W17+W19</f>
        <v>43987</v>
      </c>
      <c r="X25" s="82">
        <f>X17+X19</f>
        <v>39117</v>
      </c>
      <c r="Y25" s="81">
        <v>158826</v>
      </c>
      <c r="Z25" s="82">
        <f>Z17+Z19</f>
        <v>77412</v>
      </c>
      <c r="AA25" s="141">
        <f ca="1">AA17+AA19</f>
        <v>49282.177437191269</v>
      </c>
      <c r="AB25" s="141">
        <f t="shared" ref="AB25:AI25" ca="1" si="16">AB17+AB19</f>
        <v>53785.069878979601</v>
      </c>
      <c r="AC25" s="141">
        <f t="shared" ca="1" si="16"/>
        <v>65832.929376537199</v>
      </c>
      <c r="AD25" s="141">
        <f t="shared" ca="1" si="16"/>
        <v>246312.17669270808</v>
      </c>
      <c r="AE25" s="141">
        <f t="shared" ca="1" si="16"/>
        <v>243085.43639643438</v>
      </c>
      <c r="AF25" s="141">
        <f t="shared" ca="1" si="16"/>
        <v>291407.20589866181</v>
      </c>
      <c r="AG25" s="141">
        <f t="shared" ca="1" si="16"/>
        <v>354470.50792923302</v>
      </c>
      <c r="AH25" s="141">
        <f t="shared" ca="1" si="16"/>
        <v>392610.66325992905</v>
      </c>
      <c r="AI25" s="141">
        <f t="shared" ca="1" si="16"/>
        <v>432308.43444535212</v>
      </c>
      <c r="AJ25" s="1"/>
      <c r="AK25" s="741"/>
      <c r="AL25" s="741"/>
      <c r="AM25" s="741"/>
      <c r="AN25" s="740"/>
      <c r="AO25" s="740"/>
      <c r="AP25" s="165"/>
      <c r="AQ25" s="742"/>
      <c r="AR25" s="742"/>
      <c r="AS25" s="742"/>
      <c r="AT25" s="740"/>
      <c r="AU25" s="740"/>
      <c r="AV25" s="165"/>
      <c r="AW25" s="742"/>
      <c r="AX25" s="742"/>
      <c r="AY25" s="742"/>
      <c r="AZ25" s="740"/>
      <c r="BA25" s="740"/>
      <c r="BB25" s="165"/>
    </row>
    <row r="26" spans="1:54" s="154" customFormat="1" ht="18.75" customHeight="1">
      <c r="A26" s="93"/>
      <c r="B26" s="84"/>
      <c r="C26" s="84"/>
      <c r="D26" s="85"/>
      <c r="E26" s="85"/>
      <c r="F26" s="132"/>
      <c r="G26" s="132"/>
      <c r="H26" s="132"/>
      <c r="I26" s="132"/>
      <c r="J26" s="85"/>
      <c r="K26" s="132"/>
      <c r="L26" s="132"/>
      <c r="M26" s="132"/>
      <c r="N26" s="132"/>
      <c r="O26" s="134"/>
      <c r="P26" s="135"/>
      <c r="Q26" s="135"/>
      <c r="R26" s="135"/>
      <c r="S26" s="135"/>
      <c r="T26" s="134"/>
      <c r="U26" s="135"/>
      <c r="V26" s="135"/>
      <c r="W26" s="135"/>
      <c r="X26" s="135"/>
      <c r="Y26" s="134"/>
      <c r="Z26" s="135"/>
      <c r="AA26" s="88"/>
      <c r="AB26" s="88"/>
      <c r="AC26" s="88"/>
      <c r="AD26" s="88"/>
      <c r="AE26" s="88"/>
      <c r="AF26" s="88"/>
      <c r="AG26" s="88"/>
      <c r="AH26" s="88"/>
      <c r="AI26" s="88"/>
      <c r="AJ26" s="1"/>
      <c r="AK26" s="741"/>
      <c r="AL26" s="741"/>
      <c r="AM26" s="741"/>
      <c r="AN26" s="740"/>
      <c r="AO26" s="740"/>
      <c r="AP26" s="165"/>
      <c r="AQ26" s="742"/>
      <c r="AR26" s="742"/>
      <c r="AS26" s="742"/>
      <c r="AT26" s="740"/>
      <c r="AU26" s="740"/>
      <c r="AV26" s="165"/>
      <c r="AW26" s="742"/>
      <c r="AX26" s="742"/>
      <c r="AY26" s="742"/>
      <c r="AZ26" s="740"/>
      <c r="BA26" s="740"/>
    </row>
    <row r="27" spans="1:54" s="154" customFormat="1" ht="19.5" customHeight="1">
      <c r="A27" s="93" t="s">
        <v>76</v>
      </c>
      <c r="B27" s="84"/>
      <c r="C27" s="84"/>
      <c r="D27" s="134">
        <v>7813</v>
      </c>
      <c r="E27" s="134">
        <v>14701</v>
      </c>
      <c r="F27" s="135">
        <v>2498</v>
      </c>
      <c r="G27" s="135">
        <v>3012</v>
      </c>
      <c r="H27" s="135">
        <v>2323</v>
      </c>
      <c r="I27" s="135">
        <f>J27-SUM(F27:H27)</f>
        <v>3523</v>
      </c>
      <c r="J27" s="134">
        <v>11356</v>
      </c>
      <c r="K27" s="135">
        <v>3154</v>
      </c>
      <c r="L27" s="135">
        <v>3535</v>
      </c>
      <c r="M27" s="135">
        <v>1508</v>
      </c>
      <c r="N27" s="135">
        <f>O27-SUM(K27:M27)</f>
        <v>3725</v>
      </c>
      <c r="O27" s="134">
        <v>11922</v>
      </c>
      <c r="P27" s="135">
        <v>4653</v>
      </c>
      <c r="Q27" s="135">
        <v>3932</v>
      </c>
      <c r="R27" s="135">
        <v>5405</v>
      </c>
      <c r="S27" s="135">
        <f>T27-SUM(P27:R27)</f>
        <v>5707</v>
      </c>
      <c r="T27" s="134">
        <v>19697</v>
      </c>
      <c r="U27" s="135">
        <v>7249</v>
      </c>
      <c r="V27" s="135">
        <v>5737</v>
      </c>
      <c r="W27" s="135">
        <v>9008</v>
      </c>
      <c r="X27" s="135">
        <f>Y27-SUM(U27:W27)</f>
        <v>4662</v>
      </c>
      <c r="Y27" s="134">
        <v>26656</v>
      </c>
      <c r="Z27" s="135">
        <v>14834</v>
      </c>
      <c r="AA27" s="127">
        <f ca="1">AA28*AA25</f>
        <v>9443.6498230674224</v>
      </c>
      <c r="AB27" s="127">
        <f t="shared" ref="AB27:AI27" ca="1" si="17">AB28*AB25</f>
        <v>10306.512253717556</v>
      </c>
      <c r="AC27" s="127">
        <f t="shared" ca="1" si="17"/>
        <v>12615.171735280743</v>
      </c>
      <c r="AD27" s="127">
        <f t="shared" ca="1" si="17"/>
        <v>47199.333812065721</v>
      </c>
      <c r="AE27" s="127">
        <f t="shared" ca="1" si="17"/>
        <v>46581.012808152584</v>
      </c>
      <c r="AF27" s="127">
        <f t="shared" ca="1" si="17"/>
        <v>55840.625384962914</v>
      </c>
      <c r="AG27" s="127">
        <f t="shared" ca="1" si="17"/>
        <v>67925.069945515454</v>
      </c>
      <c r="AH27" s="127">
        <f t="shared" ca="1" si="17"/>
        <v>75233.640505319432</v>
      </c>
      <c r="AI27" s="127">
        <f t="shared" ca="1" si="17"/>
        <v>82840.687704262309</v>
      </c>
      <c r="AJ27" s="1"/>
      <c r="AK27" s="166"/>
      <c r="AL27" s="167"/>
      <c r="AM27" s="168"/>
      <c r="AN27" s="168"/>
      <c r="AO27" s="169"/>
      <c r="AP27" s="739"/>
      <c r="AQ27" s="739"/>
      <c r="AR27" s="739"/>
      <c r="AS27" s="168"/>
      <c r="AT27" s="168"/>
      <c r="AU27" s="169"/>
      <c r="AV27" s="739"/>
      <c r="AW27" s="739"/>
      <c r="AX27" s="739"/>
      <c r="AY27" s="168"/>
      <c r="AZ27" s="168"/>
      <c r="BA27" s="169"/>
    </row>
    <row r="28" spans="1:54" s="154" customFormat="1" ht="15" customHeight="1">
      <c r="A28" s="150"/>
      <c r="B28" s="151" t="s">
        <v>77</v>
      </c>
      <c r="C28" s="150"/>
      <c r="D28" s="155">
        <f t="shared" ref="D28:Z28" si="18">D27/D25</f>
        <v>0.16249324071378063</v>
      </c>
      <c r="E28" s="155">
        <f t="shared" si="18"/>
        <v>0.16202305640663919</v>
      </c>
      <c r="F28" s="156">
        <f t="shared" si="18"/>
        <v>0.13193197422625963</v>
      </c>
      <c r="G28" s="156">
        <f t="shared" si="18"/>
        <v>0.15840959293152415</v>
      </c>
      <c r="H28" s="156">
        <f t="shared" si="18"/>
        <v>0.14310355448777182</v>
      </c>
      <c r="I28" s="156">
        <f t="shared" si="18"/>
        <v>0.20545868081880211</v>
      </c>
      <c r="J28" s="155">
        <f t="shared" si="18"/>
        <v>0.1592081650964558</v>
      </c>
      <c r="K28" s="156">
        <f t="shared" si="18"/>
        <v>0.17324910738808019</v>
      </c>
      <c r="L28" s="156">
        <f t="shared" si="18"/>
        <v>0.16139341642697347</v>
      </c>
      <c r="M28" s="156">
        <f t="shared" si="18"/>
        <v>7.1142142756050381E-2</v>
      </c>
      <c r="N28" s="156">
        <f t="shared" si="18"/>
        <v>0.15258889070948714</v>
      </c>
      <c r="O28" s="155">
        <f t="shared" si="18"/>
        <v>0.13908559562280529</v>
      </c>
      <c r="P28" s="156">
        <f t="shared" si="18"/>
        <v>0.16432986049796927</v>
      </c>
      <c r="Q28" s="156">
        <f t="shared" si="18"/>
        <v>0.14271714275343908</v>
      </c>
      <c r="R28" s="156">
        <f t="shared" si="18"/>
        <v>0.17047246577934777</v>
      </c>
      <c r="S28" s="156">
        <f t="shared" si="18"/>
        <v>0.17699965884067859</v>
      </c>
      <c r="T28" s="155">
        <f t="shared" si="18"/>
        <v>0.16439510912657013</v>
      </c>
      <c r="U28" s="156">
        <f t="shared" si="18"/>
        <v>0.173466701763622</v>
      </c>
      <c r="V28" s="156">
        <f t="shared" si="18"/>
        <v>0.16906845843279403</v>
      </c>
      <c r="W28" s="156">
        <f t="shared" si="18"/>
        <v>0.20478777820719757</v>
      </c>
      <c r="X28" s="156">
        <f t="shared" si="18"/>
        <v>0.11918091878211519</v>
      </c>
      <c r="Y28" s="155">
        <f t="shared" si="18"/>
        <v>0.16783146336242177</v>
      </c>
      <c r="Z28" s="156">
        <f t="shared" si="18"/>
        <v>0.19162403761690694</v>
      </c>
      <c r="AA28" s="100">
        <f>Z28</f>
        <v>0.19162403761690694</v>
      </c>
      <c r="AB28" s="100">
        <f t="shared" ref="AB28:AI28" si="19">AA28</f>
        <v>0.19162403761690694</v>
      </c>
      <c r="AC28" s="100">
        <f t="shared" si="19"/>
        <v>0.19162403761690694</v>
      </c>
      <c r="AD28" s="100">
        <f t="shared" si="19"/>
        <v>0.19162403761690694</v>
      </c>
      <c r="AE28" s="100">
        <f t="shared" si="19"/>
        <v>0.19162403761690694</v>
      </c>
      <c r="AF28" s="100">
        <f t="shared" si="19"/>
        <v>0.19162403761690694</v>
      </c>
      <c r="AG28" s="100">
        <f t="shared" si="19"/>
        <v>0.19162403761690694</v>
      </c>
      <c r="AH28" s="100">
        <f t="shared" si="19"/>
        <v>0.19162403761690694</v>
      </c>
      <c r="AI28" s="100">
        <f t="shared" si="19"/>
        <v>0.19162403761690694</v>
      </c>
      <c r="AK28" s="170"/>
    </row>
    <row r="29" spans="1:54" s="154" customFormat="1" ht="16.5" customHeight="1">
      <c r="A29" s="171" t="s">
        <v>78</v>
      </c>
      <c r="B29" s="172"/>
      <c r="C29" s="172"/>
      <c r="D29" s="173">
        <v>40269</v>
      </c>
      <c r="E29" s="173">
        <v>76033</v>
      </c>
      <c r="F29" s="174">
        <f>F25-F27</f>
        <v>16436</v>
      </c>
      <c r="G29" s="174">
        <f>G25-G27</f>
        <v>16002</v>
      </c>
      <c r="H29" s="174">
        <f>H25-H27</f>
        <v>13910</v>
      </c>
      <c r="I29" s="174">
        <f>I25-I27</f>
        <v>13624</v>
      </c>
      <c r="J29" s="173">
        <v>59972</v>
      </c>
      <c r="K29" s="174">
        <f>K25-K27</f>
        <v>15051</v>
      </c>
      <c r="L29" s="174">
        <f>L25-L27</f>
        <v>18368</v>
      </c>
      <c r="M29" s="174">
        <f>M25-M27</f>
        <v>19689</v>
      </c>
      <c r="N29" s="174">
        <f>N25-N27</f>
        <v>20687</v>
      </c>
      <c r="O29" s="173">
        <v>73795</v>
      </c>
      <c r="P29" s="174">
        <f>P25-P27</f>
        <v>23662</v>
      </c>
      <c r="Q29" s="174">
        <f>Q25-Q27</f>
        <v>23619</v>
      </c>
      <c r="R29" s="174">
        <f>R25-R27</f>
        <v>26301</v>
      </c>
      <c r="S29" s="174">
        <f>S25-S27</f>
        <v>26536</v>
      </c>
      <c r="T29" s="173">
        <v>100118</v>
      </c>
      <c r="U29" s="174">
        <f>U25-U27</f>
        <v>34540</v>
      </c>
      <c r="V29" s="174">
        <f>V25-V27</f>
        <v>28196</v>
      </c>
      <c r="W29" s="174">
        <f>W25-W27</f>
        <v>34979</v>
      </c>
      <c r="X29" s="174">
        <f>X25-X27</f>
        <v>34455</v>
      </c>
      <c r="Y29" s="173">
        <v>132170</v>
      </c>
      <c r="Z29" s="174">
        <f>Z25-Z27</f>
        <v>62578</v>
      </c>
      <c r="AA29" s="175">
        <f ca="1">AA25-AA27</f>
        <v>39838.527614123843</v>
      </c>
      <c r="AB29" s="175">
        <f t="shared" ref="AB29:AI29" ca="1" si="20">AB25-AB27</f>
        <v>43478.557625262045</v>
      </c>
      <c r="AC29" s="175">
        <f t="shared" ca="1" si="20"/>
        <v>53217.757641256452</v>
      </c>
      <c r="AD29" s="175">
        <f t="shared" ca="1" si="20"/>
        <v>199112.84288064236</v>
      </c>
      <c r="AE29" s="175">
        <f t="shared" ca="1" si="20"/>
        <v>196504.42358828179</v>
      </c>
      <c r="AF29" s="175">
        <f t="shared" ca="1" si="20"/>
        <v>235566.58051369889</v>
      </c>
      <c r="AG29" s="175">
        <f t="shared" ca="1" si="20"/>
        <v>286545.43798371754</v>
      </c>
      <c r="AH29" s="175">
        <f t="shared" ca="1" si="20"/>
        <v>317377.02275460958</v>
      </c>
      <c r="AI29" s="175">
        <f t="shared" ca="1" si="20"/>
        <v>349467.7467410898</v>
      </c>
    </row>
    <row r="30" spans="1:54" s="154" customFormat="1" ht="15.75" customHeight="1">
      <c r="A30" s="151"/>
      <c r="B30" s="151" t="s">
        <v>79</v>
      </c>
      <c r="C30" s="150"/>
      <c r="D30" s="155">
        <f t="shared" ref="D30:Z30" si="21">D29/D6</f>
        <v>0.22061941520980458</v>
      </c>
      <c r="E30" s="155">
        <f t="shared" si="21"/>
        <v>0.29511677282377918</v>
      </c>
      <c r="F30" s="156">
        <f t="shared" si="21"/>
        <v>0.24166678919586537</v>
      </c>
      <c r="G30" s="156">
        <f t="shared" si="21"/>
        <v>0.22963335007533903</v>
      </c>
      <c r="H30" s="156">
        <f t="shared" si="21"/>
        <v>0.20132576854049672</v>
      </c>
      <c r="I30" s="156">
        <f t="shared" si="21"/>
        <v>0.17915001051967178</v>
      </c>
      <c r="J30" s="155">
        <f t="shared" si="21"/>
        <v>0.21203807153261961</v>
      </c>
      <c r="K30" s="156">
        <f t="shared" si="21"/>
        <v>0.21567054035851949</v>
      </c>
      <c r="L30" s="156">
        <f t="shared" si="21"/>
        <v>0.2462066377137955</v>
      </c>
      <c r="M30" s="156">
        <f t="shared" si="21"/>
        <v>0.25672486406842865</v>
      </c>
      <c r="N30" s="156">
        <f t="shared" si="21"/>
        <v>0.23968253968253969</v>
      </c>
      <c r="O30" s="155">
        <f t="shared" si="21"/>
        <v>0.24006649446638517</v>
      </c>
      <c r="P30" s="156">
        <f t="shared" si="21"/>
        <v>0.29379555246526529</v>
      </c>
      <c r="Q30" s="156">
        <f t="shared" si="21"/>
        <v>0.27871657501593072</v>
      </c>
      <c r="R30" s="156">
        <f t="shared" si="21"/>
        <v>0.29796755336022113</v>
      </c>
      <c r="S30" s="156">
        <f t="shared" si="21"/>
        <v>0.27507282132083882</v>
      </c>
      <c r="T30" s="155">
        <f t="shared" si="21"/>
        <v>0.28603671811164</v>
      </c>
      <c r="U30" s="156">
        <f t="shared" si="21"/>
        <v>0.38278254316554733</v>
      </c>
      <c r="V30" s="156">
        <f t="shared" si="21"/>
        <v>0.29240469573153027</v>
      </c>
      <c r="W30" s="156">
        <f t="shared" si="21"/>
        <v>0.34177202821800556</v>
      </c>
      <c r="X30" s="156">
        <f t="shared" si="21"/>
        <v>0.30269353761816076</v>
      </c>
      <c r="Y30" s="155">
        <f t="shared" si="21"/>
        <v>0.32809877965226542</v>
      </c>
      <c r="Z30" s="156">
        <f t="shared" si="21"/>
        <v>0.5694292785906675</v>
      </c>
      <c r="AA30" s="157"/>
      <c r="AB30" s="157"/>
      <c r="AC30" s="157"/>
      <c r="AD30" s="157"/>
      <c r="AE30" s="157"/>
      <c r="AF30" s="157"/>
      <c r="AG30" s="157"/>
      <c r="AH30" s="157"/>
      <c r="AI30" s="157"/>
    </row>
    <row r="31" spans="1:54" s="154" customFormat="1" ht="15.75" customHeight="1">
      <c r="A31" s="151"/>
      <c r="B31" s="150"/>
      <c r="C31" s="150"/>
      <c r="D31" s="142"/>
      <c r="E31" s="142"/>
      <c r="F31" s="143"/>
      <c r="G31" s="143"/>
      <c r="H31" s="143"/>
      <c r="I31" s="143"/>
      <c r="J31" s="142"/>
      <c r="K31" s="143"/>
      <c r="L31" s="143"/>
      <c r="M31" s="143"/>
      <c r="N31" s="143"/>
      <c r="O31" s="142"/>
      <c r="P31" s="143"/>
      <c r="Q31" s="143"/>
      <c r="R31" s="143"/>
      <c r="S31" s="143"/>
      <c r="T31" s="142"/>
      <c r="U31" s="143"/>
      <c r="V31" s="143"/>
      <c r="W31" s="143"/>
      <c r="X31" s="143"/>
      <c r="Y31" s="142"/>
      <c r="Z31" s="143"/>
      <c r="AA31" s="144"/>
      <c r="AB31" s="144"/>
      <c r="AC31" s="144"/>
      <c r="AD31" s="144"/>
      <c r="AE31" s="144"/>
      <c r="AF31" s="144"/>
      <c r="AG31" s="144"/>
      <c r="AH31" s="144"/>
      <c r="AI31" s="144"/>
    </row>
    <row r="32" spans="1:54" s="154" customFormat="1" ht="15.75" customHeight="1">
      <c r="A32" s="176" t="s">
        <v>80</v>
      </c>
      <c r="B32" s="177"/>
      <c r="C32" s="177"/>
      <c r="D32" s="159">
        <f>-('CFS - Estimates'!D24+'CFS - Estimates'!D23)</f>
        <v>31149</v>
      </c>
      <c r="E32" s="159">
        <f>-('CFS - Estimates'!E24+'CFS - Estimates'!E23)</f>
        <v>50274</v>
      </c>
      <c r="F32" s="160"/>
      <c r="G32" s="160"/>
      <c r="H32" s="160"/>
      <c r="I32" s="160"/>
      <c r="J32" s="159">
        <f>-('CFS - Estimates'!F24+'CFS - Estimates'!F23)</f>
        <v>59296</v>
      </c>
      <c r="K32" s="160"/>
      <c r="L32" s="160"/>
      <c r="M32" s="160"/>
      <c r="N32" s="160"/>
      <c r="O32" s="159">
        <f>-('CFS - Estimates'!K24+'CFS - Estimates'!K23)</f>
        <v>61504</v>
      </c>
      <c r="P32" s="160"/>
      <c r="Q32" s="160"/>
      <c r="R32" s="160"/>
      <c r="S32" s="160"/>
      <c r="T32" s="159">
        <f>-('CFS - Estimates'!P24+'CFS - Estimates'!P23)</f>
        <v>69585</v>
      </c>
      <c r="U32" s="160"/>
      <c r="V32" s="160"/>
      <c r="W32" s="160"/>
      <c r="X32" s="160"/>
      <c r="Y32" s="159">
        <f>-('CFS - Estimates'!U24+'CFS - Estimates'!U23)</f>
        <v>55758</v>
      </c>
      <c r="Z32" s="160"/>
      <c r="AA32" s="161">
        <f ca="1">AA29*AA33</f>
        <v>11951.558284237153</v>
      </c>
      <c r="AB32" s="161">
        <f t="shared" ref="AB32:AI32" ca="1" si="22">AB29*AB33</f>
        <v>13043.567287578613</v>
      </c>
      <c r="AC32" s="161">
        <f t="shared" ca="1" si="22"/>
        <v>15965.327292376935</v>
      </c>
      <c r="AD32" s="161">
        <f t="shared" ca="1" si="22"/>
        <v>59733.852864192704</v>
      </c>
      <c r="AE32" s="161">
        <f t="shared" ca="1" si="22"/>
        <v>68776.548255898626</v>
      </c>
      <c r="AF32" s="161">
        <f t="shared" ca="1" si="22"/>
        <v>94226.63220547956</v>
      </c>
      <c r="AG32" s="161">
        <f t="shared" ca="1" si="22"/>
        <v>143272.71899185877</v>
      </c>
      <c r="AH32" s="161">
        <f t="shared" ca="1" si="22"/>
        <v>174557.36251503529</v>
      </c>
      <c r="AI32" s="161">
        <f t="shared" ca="1" si="22"/>
        <v>235890.72905023562</v>
      </c>
    </row>
    <row r="33" spans="1:53" s="154" customFormat="1" ht="18.75" customHeight="1">
      <c r="A33" s="152"/>
      <c r="B33" s="152"/>
      <c r="C33" s="152"/>
      <c r="D33" s="155">
        <f>D32/D29</f>
        <v>0.77352305743872463</v>
      </c>
      <c r="E33" s="155">
        <f>E32/E29</f>
        <v>0.6612128944011153</v>
      </c>
      <c r="F33" s="156"/>
      <c r="G33" s="156"/>
      <c r="H33" s="156"/>
      <c r="I33" s="156"/>
      <c r="J33" s="155">
        <f>J32/J29</f>
        <v>0.98872807310078037</v>
      </c>
      <c r="K33" s="156"/>
      <c r="L33" s="156"/>
      <c r="M33" s="156"/>
      <c r="N33" s="156"/>
      <c r="O33" s="155">
        <f>O32/O29</f>
        <v>0.83344400027102106</v>
      </c>
      <c r="P33" s="156"/>
      <c r="Q33" s="156"/>
      <c r="R33" s="156"/>
      <c r="S33" s="156"/>
      <c r="T33" s="155">
        <f>T32/T29</f>
        <v>0.69502986475958373</v>
      </c>
      <c r="U33" s="156"/>
      <c r="V33" s="156"/>
      <c r="W33" s="156"/>
      <c r="X33" s="156"/>
      <c r="Y33" s="155">
        <f>Y32/Y29</f>
        <v>0.42186577892108645</v>
      </c>
      <c r="Z33" s="156"/>
      <c r="AA33" s="100">
        <v>0.3</v>
      </c>
      <c r="AB33" s="100">
        <f>AA33</f>
        <v>0.3</v>
      </c>
      <c r="AC33" s="100">
        <f>AB33</f>
        <v>0.3</v>
      </c>
      <c r="AD33" s="100">
        <f>AC33</f>
        <v>0.3</v>
      </c>
      <c r="AE33" s="100">
        <f>35%</f>
        <v>0.35</v>
      </c>
      <c r="AF33" s="100">
        <v>0.4</v>
      </c>
      <c r="AG33" s="100">
        <v>0.5</v>
      </c>
      <c r="AH33" s="100">
        <v>0.55000000000000004</v>
      </c>
      <c r="AI33" s="100">
        <v>0.67500000000000004</v>
      </c>
      <c r="AJ33" s="736"/>
      <c r="AK33" s="170"/>
      <c r="AL33" s="170"/>
      <c r="AM33" s="170"/>
      <c r="AN33" s="178"/>
      <c r="AO33" s="169"/>
      <c r="AP33" s="739"/>
      <c r="AQ33" s="739"/>
      <c r="AR33" s="739"/>
      <c r="AS33" s="179"/>
      <c r="AT33" s="178"/>
      <c r="AU33" s="169"/>
      <c r="AV33" s="739"/>
      <c r="AW33" s="739"/>
      <c r="AX33" s="739"/>
      <c r="AY33" s="179"/>
      <c r="AZ33" s="178"/>
      <c r="BA33" s="169"/>
    </row>
    <row r="34" spans="1:53" s="154" customFormat="1" ht="18.75" customHeight="1">
      <c r="A34" s="152"/>
      <c r="B34" s="152"/>
      <c r="C34" s="152"/>
      <c r="D34" s="180"/>
      <c r="E34" s="180"/>
      <c r="F34" s="75"/>
      <c r="G34" s="75"/>
      <c r="H34" s="75"/>
      <c r="I34" s="75"/>
      <c r="J34" s="180"/>
      <c r="K34" s="75"/>
      <c r="L34" s="75"/>
      <c r="M34" s="75"/>
      <c r="N34" s="75"/>
      <c r="O34" s="180"/>
      <c r="P34" s="75"/>
      <c r="Q34" s="75"/>
      <c r="R34" s="75"/>
      <c r="S34" s="75"/>
      <c r="T34" s="180"/>
      <c r="U34" s="75"/>
      <c r="V34" s="75"/>
      <c r="W34" s="75"/>
      <c r="X34" s="75"/>
      <c r="Y34" s="180"/>
      <c r="Z34" s="75"/>
      <c r="AA34" s="105"/>
      <c r="AB34" s="105"/>
      <c r="AC34" s="105"/>
      <c r="AD34" s="105"/>
      <c r="AE34" s="105"/>
      <c r="AF34" s="105"/>
      <c r="AG34" s="105"/>
      <c r="AH34" s="105"/>
      <c r="AI34" s="105"/>
      <c r="AJ34" s="1"/>
      <c r="AK34" s="170"/>
      <c r="AL34" s="170"/>
      <c r="AM34" s="170"/>
      <c r="AN34" s="178"/>
      <c r="AO34" s="169"/>
      <c r="AP34" s="181"/>
      <c r="AQ34" s="181"/>
      <c r="AR34" s="181"/>
      <c r="AS34" s="179"/>
      <c r="AT34" s="178"/>
      <c r="AU34" s="169"/>
      <c r="AV34" s="181"/>
      <c r="AW34" s="181"/>
      <c r="AX34" s="181"/>
      <c r="AY34" s="179"/>
      <c r="AZ34" s="178"/>
      <c r="BA34" s="169"/>
    </row>
    <row r="35" spans="1:53" s="154" customFormat="1" ht="18.75" customHeight="1">
      <c r="A35" s="182" t="s">
        <v>81</v>
      </c>
      <c r="B35" s="183"/>
      <c r="C35" s="183"/>
      <c r="D35" s="159">
        <f>D29-D32</f>
        <v>9120</v>
      </c>
      <c r="E35" s="159">
        <f>E29-E32</f>
        <v>25759</v>
      </c>
      <c r="F35" s="160"/>
      <c r="G35" s="160"/>
      <c r="H35" s="160"/>
      <c r="I35" s="160"/>
      <c r="J35" s="159">
        <f>J29-J32</f>
        <v>676</v>
      </c>
      <c r="K35" s="160"/>
      <c r="L35" s="160"/>
      <c r="M35" s="160"/>
      <c r="N35" s="160"/>
      <c r="O35" s="159">
        <f>O29-O32</f>
        <v>12291</v>
      </c>
      <c r="P35" s="160"/>
      <c r="Q35" s="160"/>
      <c r="R35" s="160"/>
      <c r="S35" s="160"/>
      <c r="T35" s="159">
        <f>T29-T32</f>
        <v>30533</v>
      </c>
      <c r="U35" s="160"/>
      <c r="V35" s="160"/>
      <c r="W35" s="160"/>
      <c r="X35" s="160"/>
      <c r="Y35" s="159">
        <f>Y29-Y32</f>
        <v>76412</v>
      </c>
      <c r="Z35" s="160"/>
      <c r="AA35" s="161">
        <f ca="1">AA29-AA32</f>
        <v>27886.969329886691</v>
      </c>
      <c r="AB35" s="161">
        <f t="shared" ref="AB35:AI35" ca="1" si="23">AB29-AB32</f>
        <v>30434.990337683434</v>
      </c>
      <c r="AC35" s="161">
        <f t="shared" ca="1" si="23"/>
        <v>37252.430348879519</v>
      </c>
      <c r="AD35" s="161">
        <f t="shared" ca="1" si="23"/>
        <v>139378.99001644965</v>
      </c>
      <c r="AE35" s="161">
        <f t="shared" ca="1" si="23"/>
        <v>127727.87533238316</v>
      </c>
      <c r="AF35" s="161">
        <f t="shared" ca="1" si="23"/>
        <v>141339.94830821932</v>
      </c>
      <c r="AG35" s="161">
        <f t="shared" ca="1" si="23"/>
        <v>143272.71899185877</v>
      </c>
      <c r="AH35" s="161">
        <f t="shared" ca="1" si="23"/>
        <v>142819.6602395743</v>
      </c>
      <c r="AI35" s="161">
        <f t="shared" ca="1" si="23"/>
        <v>113577.01769085418</v>
      </c>
      <c r="AJ35" s="1"/>
      <c r="AK35" s="170"/>
      <c r="AL35" s="170"/>
      <c r="AM35" s="170"/>
      <c r="AN35" s="178"/>
      <c r="AO35" s="169"/>
      <c r="AP35" s="181"/>
      <c r="AQ35" s="181"/>
      <c r="AR35" s="181"/>
      <c r="AS35" s="179"/>
      <c r="AT35" s="178"/>
      <c r="AU35" s="169"/>
      <c r="AV35" s="181"/>
      <c r="AW35" s="181"/>
      <c r="AX35" s="181"/>
      <c r="AY35" s="179"/>
      <c r="AZ35" s="178"/>
      <c r="BA35" s="169"/>
    </row>
    <row r="36" spans="1:53" s="154" customFormat="1" ht="18.75" customHeight="1">
      <c r="A36" s="184"/>
      <c r="B36" s="152"/>
      <c r="C36" s="152"/>
      <c r="D36" s="146"/>
      <c r="E36" s="146"/>
      <c r="F36" s="147"/>
      <c r="G36" s="147"/>
      <c r="H36" s="147"/>
      <c r="I36" s="147"/>
      <c r="J36" s="146"/>
      <c r="K36" s="147"/>
      <c r="L36" s="147"/>
      <c r="M36" s="147"/>
      <c r="N36" s="147"/>
      <c r="O36" s="146"/>
      <c r="P36" s="147"/>
      <c r="Q36" s="147"/>
      <c r="R36" s="147"/>
      <c r="S36" s="147"/>
      <c r="T36" s="146"/>
      <c r="U36" s="147"/>
      <c r="V36" s="147"/>
      <c r="W36" s="147"/>
      <c r="X36" s="147"/>
      <c r="Y36" s="146"/>
      <c r="Z36" s="147"/>
      <c r="AA36" s="158"/>
      <c r="AB36" s="158"/>
      <c r="AC36" s="158"/>
      <c r="AD36" s="158"/>
      <c r="AE36" s="158"/>
      <c r="AF36" s="158"/>
      <c r="AG36" s="158"/>
      <c r="AH36" s="158"/>
      <c r="AI36" s="158"/>
      <c r="AJ36" s="1"/>
      <c r="AK36" s="170"/>
      <c r="AL36" s="170"/>
      <c r="AM36" s="170"/>
      <c r="AN36" s="178"/>
      <c r="AO36" s="169"/>
      <c r="AP36" s="181"/>
      <c r="AQ36" s="181"/>
      <c r="AR36" s="181"/>
      <c r="AS36" s="179"/>
      <c r="AT36" s="178"/>
      <c r="AU36" s="169"/>
      <c r="AV36" s="181"/>
      <c r="AW36" s="181"/>
      <c r="AX36" s="181"/>
      <c r="AY36" s="179"/>
      <c r="AZ36" s="178"/>
      <c r="BA36" s="169"/>
    </row>
    <row r="37" spans="1:53" s="154" customFormat="1" ht="18.75" customHeight="1">
      <c r="A37" s="184" t="s">
        <v>82</v>
      </c>
      <c r="B37" s="152"/>
      <c r="C37" s="152"/>
      <c r="D37" s="146">
        <f>'CFS - Estimates'!D23</f>
        <v>0</v>
      </c>
      <c r="E37" s="146">
        <f>'CFS - Estimates'!E23</f>
        <v>0</v>
      </c>
      <c r="F37" s="147">
        <f>'CFS - Estimates'!F23</f>
        <v>0</v>
      </c>
      <c r="G37" s="147">
        <f>'CFS - Estimates'!G23</f>
        <v>0</v>
      </c>
      <c r="H37" s="147">
        <f>'CFS - Estimates'!H23</f>
        <v>0</v>
      </c>
      <c r="I37" s="147">
        <f>'CFS - Estimates'!I23</f>
        <v>0</v>
      </c>
      <c r="J37" s="146">
        <f>'CFS - Estimates'!J23</f>
        <v>0</v>
      </c>
      <c r="K37" s="147">
        <f>'CFS - Estimates'!G23</f>
        <v>0</v>
      </c>
      <c r="L37" s="147">
        <f>'CFS - Estimates'!H23</f>
        <v>0</v>
      </c>
      <c r="M37" s="147">
        <f>'CFS - Estimates'!I23</f>
        <v>0</v>
      </c>
      <c r="N37" s="147">
        <f>'CFS - Estimates'!J23</f>
        <v>0</v>
      </c>
      <c r="O37" s="146">
        <f>'CFS - Estimates'!K23</f>
        <v>0</v>
      </c>
      <c r="P37" s="147">
        <f>'CFS - Estimates'!L23</f>
        <v>0</v>
      </c>
      <c r="Q37" s="147">
        <f>'CFS - Estimates'!M23</f>
        <v>-2466</v>
      </c>
      <c r="R37" s="147">
        <f>'CFS - Estimates'!N23</f>
        <v>-2455</v>
      </c>
      <c r="S37" s="147">
        <f>'CFS - Estimates'!O23</f>
        <v>-2442</v>
      </c>
      <c r="T37" s="146">
        <f>'CFS - Estimates'!P23</f>
        <v>-7363</v>
      </c>
      <c r="U37" s="147">
        <f>'CFS - Estimates'!Q23</f>
        <v>-2434</v>
      </c>
      <c r="V37" s="147">
        <f>'CFS - Estimates'!R23</f>
        <v>-2543</v>
      </c>
      <c r="W37" s="147">
        <f>'CFS - Estimates'!S23</f>
        <v>-2536</v>
      </c>
      <c r="X37" s="147">
        <f>'CFS - Estimates'!T23</f>
        <v>-2536</v>
      </c>
      <c r="Y37" s="146">
        <f>'CFS - Estimates'!U23</f>
        <v>-10049</v>
      </c>
      <c r="Z37" s="147">
        <f>'CFS - Estimates'!V23</f>
        <v>-2542</v>
      </c>
      <c r="AA37" s="158">
        <f ca="1">AA32*AA38</f>
        <v>2390.3116568474306</v>
      </c>
      <c r="AB37" s="158">
        <f t="shared" ref="AB37:AI37" ca="1" si="24">AB32*AB38</f>
        <v>2608.7134575157229</v>
      </c>
      <c r="AC37" s="158">
        <f t="shared" ca="1" si="24"/>
        <v>3193.065458475387</v>
      </c>
      <c r="AD37" s="158">
        <f t="shared" ca="1" si="24"/>
        <v>11946.770572838541</v>
      </c>
      <c r="AE37" s="158">
        <f t="shared" ca="1" si="24"/>
        <v>13755.309651179727</v>
      </c>
      <c r="AF37" s="158">
        <f t="shared" ca="1" si="24"/>
        <v>18845.326441095913</v>
      </c>
      <c r="AG37" s="158">
        <f t="shared" ca="1" si="24"/>
        <v>28654.543798371757</v>
      </c>
      <c r="AH37" s="158">
        <f t="shared" ca="1" si="24"/>
        <v>34911.472503007062</v>
      </c>
      <c r="AI37" s="158">
        <f t="shared" ca="1" si="24"/>
        <v>47178.145810047128</v>
      </c>
      <c r="AJ37" s="1"/>
      <c r="AK37" s="170"/>
      <c r="AL37" s="170"/>
      <c r="AM37" s="170"/>
      <c r="AN37" s="178"/>
      <c r="AO37" s="169"/>
      <c r="AP37" s="181"/>
      <c r="AQ37" s="181"/>
      <c r="AR37" s="181"/>
      <c r="AS37" s="179"/>
      <c r="AT37" s="178"/>
      <c r="AU37" s="169"/>
      <c r="AV37" s="181"/>
      <c r="AW37" s="181"/>
      <c r="AX37" s="181"/>
      <c r="AY37" s="179"/>
      <c r="AZ37" s="178"/>
      <c r="BA37" s="169"/>
    </row>
    <row r="38" spans="1:53" s="154" customFormat="1" ht="18.75" customHeight="1">
      <c r="A38" s="152"/>
      <c r="B38" s="185" t="s">
        <v>83</v>
      </c>
      <c r="C38" s="152"/>
      <c r="D38" s="155">
        <v>0</v>
      </c>
      <c r="E38" s="155">
        <v>0</v>
      </c>
      <c r="F38" s="156">
        <v>0</v>
      </c>
      <c r="G38" s="156">
        <v>0</v>
      </c>
      <c r="H38" s="156">
        <v>0</v>
      </c>
      <c r="I38" s="156">
        <v>0</v>
      </c>
      <c r="J38" s="155">
        <v>0</v>
      </c>
      <c r="K38" s="156">
        <v>0</v>
      </c>
      <c r="L38" s="156">
        <v>0</v>
      </c>
      <c r="M38" s="156">
        <v>0</v>
      </c>
      <c r="N38" s="156">
        <v>0</v>
      </c>
      <c r="O38" s="155">
        <v>0</v>
      </c>
      <c r="P38" s="156">
        <v>0</v>
      </c>
      <c r="Q38" s="156">
        <f>Q37/(Q40+Q37)</f>
        <v>0.13586776859504132</v>
      </c>
      <c r="R38" s="156">
        <f>R37/(R40+R37)</f>
        <v>0.13834103459934632</v>
      </c>
      <c r="S38" s="156">
        <f>S37/(S40+S37)</f>
        <v>0.13571944645139777</v>
      </c>
      <c r="T38" s="155">
        <f>-T37/T32</f>
        <v>0.10581303441833728</v>
      </c>
      <c r="U38" s="156">
        <f>U37/(U40+U37)</f>
        <v>0.13906982059193235</v>
      </c>
      <c r="V38" s="156">
        <f>V37/(V40+V37)</f>
        <v>0.15715963166676966</v>
      </c>
      <c r="W38" s="156">
        <f>W37/(W40+W37)</f>
        <v>0.18062678062678061</v>
      </c>
      <c r="X38" s="156">
        <f>X37/(X40+X37)</f>
        <v>0.31561916614810204</v>
      </c>
      <c r="Y38" s="155">
        <f>-Y37/Y32</f>
        <v>0.18022525915563686</v>
      </c>
      <c r="Z38" s="156">
        <f>Z37/(Z40+Z37)</f>
        <v>1</v>
      </c>
      <c r="AA38" s="100">
        <v>0.2</v>
      </c>
      <c r="AB38" s="100">
        <v>0.2</v>
      </c>
      <c r="AC38" s="100">
        <v>0.2</v>
      </c>
      <c r="AD38" s="100">
        <v>0.2</v>
      </c>
      <c r="AE38" s="100">
        <v>0.2</v>
      </c>
      <c r="AF38" s="100">
        <v>0.2</v>
      </c>
      <c r="AG38" s="100">
        <v>0.2</v>
      </c>
      <c r="AH38" s="100">
        <v>0.2</v>
      </c>
      <c r="AI38" s="100">
        <v>0.2</v>
      </c>
      <c r="AJ38" s="1"/>
      <c r="AK38" s="170"/>
      <c r="AL38" s="170"/>
      <c r="AM38" s="170"/>
      <c r="AN38" s="178"/>
      <c r="AO38" s="169"/>
      <c r="AP38" s="181"/>
      <c r="AQ38" s="181"/>
      <c r="AR38" s="181"/>
      <c r="AS38" s="179"/>
      <c r="AT38" s="178"/>
      <c r="AU38" s="169"/>
      <c r="AV38" s="181"/>
      <c r="AW38" s="181"/>
      <c r="AX38" s="181"/>
      <c r="AY38" s="179"/>
      <c r="AZ38" s="178"/>
      <c r="BA38" s="169"/>
    </row>
    <row r="39" spans="1:53" s="154" customFormat="1" ht="18.75" customHeight="1">
      <c r="A39" s="152"/>
      <c r="B39" s="185"/>
      <c r="C39" s="152"/>
      <c r="D39" s="186"/>
      <c r="E39" s="186"/>
      <c r="J39" s="186"/>
      <c r="O39" s="187"/>
      <c r="P39" s="153"/>
      <c r="Q39" s="153"/>
      <c r="R39" s="153"/>
      <c r="S39" s="153"/>
      <c r="T39" s="186"/>
      <c r="Y39" s="186"/>
      <c r="AA39" s="188"/>
      <c r="AB39" s="188"/>
      <c r="AC39" s="188"/>
      <c r="AD39" s="188"/>
      <c r="AE39" s="188"/>
      <c r="AF39" s="188"/>
      <c r="AG39" s="188"/>
      <c r="AH39" s="188"/>
      <c r="AI39" s="188"/>
      <c r="AJ39" s="1"/>
      <c r="AK39" s="170"/>
      <c r="AL39" s="170"/>
      <c r="AM39" s="170"/>
      <c r="AN39" s="178"/>
      <c r="AO39" s="169"/>
      <c r="AP39" s="181"/>
      <c r="AQ39" s="181"/>
      <c r="AR39" s="181"/>
      <c r="AS39" s="179"/>
      <c r="AT39" s="178"/>
      <c r="AU39" s="169"/>
      <c r="AV39" s="181"/>
      <c r="AW39" s="181"/>
      <c r="AX39" s="181"/>
      <c r="AY39" s="179"/>
      <c r="AZ39" s="178"/>
      <c r="BA39" s="169"/>
    </row>
    <row r="40" spans="1:53" s="154" customFormat="1" ht="18.75" customHeight="1">
      <c r="A40" s="184" t="s">
        <v>84</v>
      </c>
      <c r="B40" s="152"/>
      <c r="C40" s="152"/>
      <c r="D40" s="146">
        <f>'CFS - Estimates'!D24</f>
        <v>-31149</v>
      </c>
      <c r="E40" s="146">
        <f>'CFS - Estimates'!E24</f>
        <v>-50274</v>
      </c>
      <c r="F40" s="147"/>
      <c r="G40" s="147"/>
      <c r="H40" s="147"/>
      <c r="I40" s="147"/>
      <c r="J40" s="146">
        <f>'CFS - Estimates'!F24</f>
        <v>-59296</v>
      </c>
      <c r="K40" s="147">
        <f>'CFS - Estimates'!G24</f>
        <v>-14557</v>
      </c>
      <c r="L40" s="147">
        <f>'CFS - Estimates'!H24</f>
        <v>-14969</v>
      </c>
      <c r="M40" s="147">
        <f>'CFS - Estimates'!I24</f>
        <v>-15787</v>
      </c>
      <c r="N40" s="147">
        <f>'CFS - Estimates'!J24</f>
        <v>-16191</v>
      </c>
      <c r="O40" s="146">
        <f>'CFS - Estimates'!K24</f>
        <v>-61504</v>
      </c>
      <c r="P40" s="147">
        <f>'CFS - Estimates'!L24</f>
        <v>-15696</v>
      </c>
      <c r="Q40" s="147">
        <f>'CFS - Estimates'!M24</f>
        <v>-15684</v>
      </c>
      <c r="R40" s="147">
        <f>'CFS - Estimates'!N24</f>
        <v>-15291</v>
      </c>
      <c r="S40" s="147">
        <f>'CFS - Estimates'!O24</f>
        <v>-15551</v>
      </c>
      <c r="T40" s="146">
        <f>'CFS - Estimates'!P24</f>
        <v>-62222</v>
      </c>
      <c r="U40" s="147">
        <f>'CFS - Estimates'!Q24</f>
        <v>-15068</v>
      </c>
      <c r="V40" s="147">
        <f>'CFS - Estimates'!R24</f>
        <v>-13638</v>
      </c>
      <c r="W40" s="147">
        <f>'CFS - Estimates'!S24</f>
        <v>-11504</v>
      </c>
      <c r="X40" s="147">
        <f>'CFS - Estimates'!T24</f>
        <v>-5499</v>
      </c>
      <c r="Y40" s="146">
        <f>'CFS - Estimates'!U24</f>
        <v>-45709</v>
      </c>
      <c r="Z40" s="147">
        <f>'CFS - Estimates'!V24</f>
        <v>0</v>
      </c>
      <c r="AA40" s="158">
        <f ca="1">AA32*AA41</f>
        <v>9561.2466273897226</v>
      </c>
      <c r="AB40" s="158">
        <f ca="1">AB32*AB41</f>
        <v>10434.853830062892</v>
      </c>
      <c r="AC40" s="158">
        <f t="shared" ref="AB40:AI40" ca="1" si="25">AC32*AC41</f>
        <v>12772.261833901548</v>
      </c>
      <c r="AD40" s="158">
        <f t="shared" ca="1" si="25"/>
        <v>47787.082291354163</v>
      </c>
      <c r="AE40" s="158">
        <f t="shared" ca="1" si="25"/>
        <v>55021.238604718907</v>
      </c>
      <c r="AF40" s="158">
        <f t="shared" ca="1" si="25"/>
        <v>75381.305764383651</v>
      </c>
      <c r="AG40" s="158">
        <f t="shared" ca="1" si="25"/>
        <v>114618.17519348703</v>
      </c>
      <c r="AH40" s="158">
        <f t="shared" ca="1" si="25"/>
        <v>139645.89001202825</v>
      </c>
      <c r="AI40" s="158">
        <f t="shared" ca="1" si="25"/>
        <v>188712.58324018851</v>
      </c>
      <c r="AJ40" s="1"/>
      <c r="AK40" s="170"/>
      <c r="AL40" s="170"/>
      <c r="AM40" s="170"/>
      <c r="AN40" s="178"/>
      <c r="AO40" s="169"/>
      <c r="AP40" s="181"/>
      <c r="AQ40" s="181"/>
      <c r="AR40" s="181"/>
      <c r="AS40" s="179"/>
      <c r="AT40" s="178"/>
      <c r="AU40" s="169"/>
      <c r="AV40" s="181"/>
      <c r="AW40" s="181"/>
      <c r="AX40" s="181"/>
      <c r="AY40" s="179"/>
      <c r="AZ40" s="178"/>
      <c r="BA40" s="169"/>
    </row>
    <row r="41" spans="1:53" s="154" customFormat="1" ht="18.75" customHeight="1">
      <c r="A41" s="152"/>
      <c r="B41" s="185" t="s">
        <v>83</v>
      </c>
      <c r="C41" s="152"/>
      <c r="D41" s="155">
        <v>1</v>
      </c>
      <c r="E41" s="155">
        <v>1</v>
      </c>
      <c r="F41" s="156"/>
      <c r="G41" s="156"/>
      <c r="H41" s="156"/>
      <c r="I41" s="156"/>
      <c r="J41" s="155">
        <v>1</v>
      </c>
      <c r="K41" s="156">
        <v>1</v>
      </c>
      <c r="L41" s="156">
        <v>1</v>
      </c>
      <c r="M41" s="156">
        <v>1</v>
      </c>
      <c r="N41" s="156">
        <v>1</v>
      </c>
      <c r="O41" s="155">
        <v>1</v>
      </c>
      <c r="P41" s="156">
        <v>1</v>
      </c>
      <c r="Q41" s="156">
        <f>Q40/(Q37+Q40)</f>
        <v>0.86413223140495865</v>
      </c>
      <c r="R41" s="156">
        <f>R40/(R37+R40)</f>
        <v>0.86165896540065368</v>
      </c>
      <c r="S41" s="156">
        <f>S40/(S37+S40)</f>
        <v>0.86428055354860223</v>
      </c>
      <c r="T41" s="155">
        <f>-T40/T32</f>
        <v>0.89418696558166266</v>
      </c>
      <c r="U41" s="156">
        <f>U40/(U37+U40)</f>
        <v>0.8609301794080676</v>
      </c>
      <c r="V41" s="156">
        <f>V40/(V37+V40)</f>
        <v>0.84284036833323028</v>
      </c>
      <c r="W41" s="156">
        <f>W40/(W37+W40)</f>
        <v>0.81937321937321939</v>
      </c>
      <c r="X41" s="156">
        <f>X40/(X37+X40)</f>
        <v>0.68438083385189796</v>
      </c>
      <c r="Y41" s="155">
        <f>-Y40/Y32</f>
        <v>0.81977474084436319</v>
      </c>
      <c r="Z41" s="156">
        <f>Z40/(Z37+Z40)</f>
        <v>0</v>
      </c>
      <c r="AA41" s="100">
        <v>0.8</v>
      </c>
      <c r="AB41" s="100">
        <v>0.8</v>
      </c>
      <c r="AC41" s="100">
        <v>0.8</v>
      </c>
      <c r="AD41" s="100">
        <v>0.8</v>
      </c>
      <c r="AE41" s="100">
        <v>0.8</v>
      </c>
      <c r="AF41" s="100">
        <v>0.8</v>
      </c>
      <c r="AG41" s="100">
        <v>0.8</v>
      </c>
      <c r="AH41" s="100">
        <v>0.8</v>
      </c>
      <c r="AI41" s="100">
        <v>0.8</v>
      </c>
      <c r="AJ41" s="1"/>
      <c r="AK41" s="170"/>
      <c r="AL41" s="170"/>
      <c r="AM41" s="170"/>
      <c r="AN41" s="178"/>
      <c r="AO41" s="169"/>
      <c r="AP41" s="181"/>
      <c r="AQ41" s="181"/>
      <c r="AR41" s="181"/>
      <c r="AS41" s="179"/>
      <c r="AT41" s="178"/>
      <c r="AU41" s="169"/>
      <c r="AV41" s="181"/>
      <c r="AW41" s="181"/>
      <c r="AX41" s="181"/>
      <c r="AY41" s="179"/>
      <c r="AZ41" s="178"/>
      <c r="BA41" s="169"/>
    </row>
    <row r="42" spans="1:53" s="154" customFormat="1" ht="18.75" customHeight="1">
      <c r="A42" s="152"/>
      <c r="B42" s="185"/>
      <c r="C42" s="152"/>
      <c r="D42" s="186"/>
      <c r="E42" s="186"/>
      <c r="J42" s="186"/>
      <c r="O42" s="187"/>
      <c r="P42" s="153"/>
      <c r="Q42" s="153"/>
      <c r="R42" s="153"/>
      <c r="S42" s="153"/>
      <c r="T42" s="186"/>
      <c r="Y42" s="186"/>
      <c r="AA42" s="188"/>
      <c r="AB42" s="188"/>
      <c r="AC42" s="188"/>
      <c r="AD42" s="188"/>
      <c r="AE42" s="188"/>
      <c r="AF42" s="188"/>
      <c r="AG42" s="188"/>
      <c r="AH42" s="188"/>
      <c r="AI42" s="188"/>
      <c r="AJ42" s="1"/>
      <c r="AK42" s="170"/>
      <c r="AL42" s="170"/>
      <c r="AM42" s="170"/>
      <c r="AN42" s="178"/>
      <c r="AO42" s="169"/>
      <c r="AP42" s="181"/>
      <c r="AQ42" s="181"/>
      <c r="AR42" s="181"/>
      <c r="AS42" s="179"/>
      <c r="AT42" s="178"/>
      <c r="AU42" s="169"/>
      <c r="AV42" s="181"/>
      <c r="AW42" s="181"/>
      <c r="AX42" s="181"/>
      <c r="AY42" s="179"/>
      <c r="AZ42" s="178"/>
      <c r="BA42" s="169"/>
    </row>
    <row r="43" spans="1:53" s="154" customFormat="1" ht="16.5" customHeight="1">
      <c r="A43" s="189" t="s">
        <v>85</v>
      </c>
      <c r="B43" s="190"/>
      <c r="C43" s="190"/>
      <c r="D43" s="191">
        <f>D17+'CFS - Estimates'!D9</f>
        <v>54921</v>
      </c>
      <c r="E43" s="191">
        <f>E17+'CFS - Estimates'!E9</f>
        <v>91155</v>
      </c>
      <c r="F43" s="192">
        <f>F17+'CFS - Estimates'!F9</f>
        <v>36022</v>
      </c>
      <c r="G43" s="192">
        <f>G17+'CFS - Estimates'!G9</f>
        <v>22639</v>
      </c>
      <c r="H43" s="192">
        <f>H17+'CFS - Estimates'!H9</f>
        <v>20532</v>
      </c>
      <c r="I43" s="192">
        <f>I17+'CFS - Estimates'!I9</f>
        <v>21960</v>
      </c>
      <c r="J43" s="191">
        <f>J17+'CFS - Estimates'!F9</f>
        <v>90770</v>
      </c>
      <c r="K43" s="192">
        <f>K17+'CFS - Estimates'!G9</f>
        <v>20601</v>
      </c>
      <c r="L43" s="192">
        <f>L17+'CFS - Estimates'!H9</f>
        <v>25235</v>
      </c>
      <c r="M43" s="192">
        <f>M17+'CFS - Estimates'!I9</f>
        <v>25143</v>
      </c>
      <c r="N43" s="192">
        <f>N17+'CFS - Estimates'!J9</f>
        <v>25260</v>
      </c>
      <c r="O43" s="191">
        <f>O17+'CFS - Estimates'!K9</f>
        <v>96239</v>
      </c>
      <c r="P43" s="192">
        <f>P17+'CFS - Estimates'!L9</f>
        <v>28885</v>
      </c>
      <c r="Q43" s="192">
        <f>Q17+'CFS - Estimates'!M9</f>
        <v>31133</v>
      </c>
      <c r="R43" s="192">
        <f>R17+'CFS - Estimates'!N9</f>
        <v>32506</v>
      </c>
      <c r="S43" s="192">
        <f>S17+'CFS - Estimates'!O9</f>
        <v>35177</v>
      </c>
      <c r="T43" s="191">
        <f>T17+'CFS - Estimates'!P9</f>
        <v>127701</v>
      </c>
      <c r="U43" s="192">
        <f>U17+'CFS - Estimates'!Q9</f>
        <v>35093</v>
      </c>
      <c r="V43" s="192">
        <f>V17+'CFS - Estimates'!R9</f>
        <v>36269</v>
      </c>
      <c r="W43" s="192">
        <f>W17+'CFS - Estimates'!S9</f>
        <v>36839</v>
      </c>
      <c r="X43" s="192">
        <f>X17+'CFS - Estimates'!T9</f>
        <v>41974</v>
      </c>
      <c r="Y43" s="191">
        <f>Y17+'CFS - Estimates'!U9</f>
        <v>150175</v>
      </c>
      <c r="Z43" s="192">
        <f>Z17+'CFS - Estimates'!V9</f>
        <v>46178</v>
      </c>
      <c r="AA43" s="193">
        <f>AA17+'CFS - Estimates'!W9</f>
        <v>51792.870441459985</v>
      </c>
      <c r="AB43" s="193">
        <f>AB17+'CFS - Estimates'!X9</f>
        <v>58298.741217748786</v>
      </c>
      <c r="AC43" s="193">
        <f>AC17+'CFS - Estimates'!Y9</f>
        <v>66372.954515301142</v>
      </c>
      <c r="AD43" s="193">
        <f>AD17+'CFS - Estimates'!Z9</f>
        <v>222642.56617450991</v>
      </c>
      <c r="AE43" s="193">
        <f>AE17+'CFS - Estimates'!AA9</f>
        <v>272207.65403468057</v>
      </c>
      <c r="AF43" s="193">
        <f>AF17+'CFS - Estimates'!AB9</f>
        <v>329336.87985442928</v>
      </c>
      <c r="AG43" s="193">
        <f>AG17+'CFS - Estimates'!AC9</f>
        <v>386660.81453266682</v>
      </c>
      <c r="AH43" s="193">
        <f>AH17+'CFS - Estimates'!AD9</f>
        <v>437489.33342877263</v>
      </c>
      <c r="AI43" s="193">
        <f>AI17+'CFS - Estimates'!AE9</f>
        <v>484881.35963850981</v>
      </c>
    </row>
    <row r="44" spans="1:53" ht="15" customHeight="1">
      <c r="A44" s="71" t="s">
        <v>86</v>
      </c>
      <c r="D44" s="155">
        <f t="shared" ref="D44:Z44" si="26">D43/D6</f>
        <v>0.30089247070296449</v>
      </c>
      <c r="E44" s="155">
        <f t="shared" si="26"/>
        <v>0.35381175840426649</v>
      </c>
      <c r="F44" s="156">
        <f t="shared" si="26"/>
        <v>0.52964961550337442</v>
      </c>
      <c r="G44" s="156">
        <f t="shared" si="26"/>
        <v>0.32487622874363203</v>
      </c>
      <c r="H44" s="156">
        <f t="shared" si="26"/>
        <v>0.2971689920685463</v>
      </c>
      <c r="I44" s="156">
        <f t="shared" si="26"/>
        <v>0.28876499053229537</v>
      </c>
      <c r="J44" s="155">
        <f t="shared" si="26"/>
        <v>0.32092802896378114</v>
      </c>
      <c r="K44" s="156">
        <f t="shared" si="26"/>
        <v>0.29519824609167894</v>
      </c>
      <c r="L44" s="156">
        <f t="shared" si="26"/>
        <v>0.33825264060908261</v>
      </c>
      <c r="M44" s="156">
        <f t="shared" si="26"/>
        <v>0.32783956814833165</v>
      </c>
      <c r="N44" s="156">
        <f t="shared" si="26"/>
        <v>0.29266597149808826</v>
      </c>
      <c r="O44" s="155">
        <f t="shared" si="26"/>
        <v>0.31308028133275212</v>
      </c>
      <c r="P44" s="156">
        <f t="shared" si="26"/>
        <v>0.35864612175467786</v>
      </c>
      <c r="Q44" s="156">
        <f t="shared" si="26"/>
        <v>0.36738571192560948</v>
      </c>
      <c r="R44" s="156">
        <f t="shared" si="26"/>
        <v>0.36826482983640729</v>
      </c>
      <c r="S44" s="156">
        <f t="shared" si="26"/>
        <v>0.36464563745866546</v>
      </c>
      <c r="T44" s="155">
        <f t="shared" si="26"/>
        <v>0.3648412367363964</v>
      </c>
      <c r="U44" s="156">
        <f t="shared" si="26"/>
        <v>0.38891105348316601</v>
      </c>
      <c r="V44" s="156">
        <f t="shared" si="26"/>
        <v>0.37612519185298876</v>
      </c>
      <c r="W44" s="156">
        <f t="shared" si="26"/>
        <v>0.35994567447677484</v>
      </c>
      <c r="X44" s="156">
        <f t="shared" si="26"/>
        <v>0.36874934111115015</v>
      </c>
      <c r="Y44" s="155">
        <f t="shared" si="26"/>
        <v>0.3727943877905649</v>
      </c>
      <c r="Z44" s="156">
        <f t="shared" si="26"/>
        <v>0.42019727742592999</v>
      </c>
      <c r="AA44" s="157">
        <f>AA43/AA6</f>
        <v>0.43337337813739868</v>
      </c>
      <c r="AB44" s="157">
        <f t="shared" ref="AB44:AI44" si="27">AB43/AB6</f>
        <v>0.43237572764951426</v>
      </c>
      <c r="AC44" s="157">
        <f t="shared" si="27"/>
        <v>0.43265475715117652</v>
      </c>
      <c r="AD44" s="157">
        <f t="shared" si="27"/>
        <v>0.43010328606736209</v>
      </c>
      <c r="AE44" s="157">
        <f t="shared" si="27"/>
        <v>0.43007912377288543</v>
      </c>
      <c r="AF44" s="157">
        <f t="shared" si="27"/>
        <v>0.43924056003532824</v>
      </c>
      <c r="AG44" s="157">
        <f t="shared" si="27"/>
        <v>0.44912293071215376</v>
      </c>
      <c r="AH44" s="157">
        <f t="shared" si="27"/>
        <v>0.45147064396410774</v>
      </c>
      <c r="AI44" s="157">
        <f t="shared" si="27"/>
        <v>0.45404792488658552</v>
      </c>
    </row>
  </sheetData>
  <mergeCells count="49">
    <mergeCell ref="A5:C5"/>
    <mergeCell ref="AK19:AM19"/>
    <mergeCell ref="AN19:AP19"/>
    <mergeCell ref="AQ19:AS19"/>
    <mergeCell ref="AT19:AV19"/>
    <mergeCell ref="AW19:AY19"/>
    <mergeCell ref="AK20:AM20"/>
    <mergeCell ref="AQ20:AS20"/>
    <mergeCell ref="AW20:AY20"/>
    <mergeCell ref="AK21:AM21"/>
    <mergeCell ref="AN21:AO21"/>
    <mergeCell ref="AQ21:AS21"/>
    <mergeCell ref="AT21:AU21"/>
    <mergeCell ref="AW21:AY21"/>
    <mergeCell ref="AZ21:BA21"/>
    <mergeCell ref="AK22:AM22"/>
    <mergeCell ref="AN22:AO22"/>
    <mergeCell ref="AQ22:AS22"/>
    <mergeCell ref="AT22:AU22"/>
    <mergeCell ref="AW22:AY22"/>
    <mergeCell ref="AZ22:BA22"/>
    <mergeCell ref="AZ23:BA23"/>
    <mergeCell ref="AK24:AM24"/>
    <mergeCell ref="AN24:AO24"/>
    <mergeCell ref="AQ24:AS24"/>
    <mergeCell ref="AT24:AU24"/>
    <mergeCell ref="AW24:AY24"/>
    <mergeCell ref="AZ24:BA24"/>
    <mergeCell ref="AK23:AM23"/>
    <mergeCell ref="AN23:AO23"/>
    <mergeCell ref="AQ23:AS23"/>
    <mergeCell ref="AT23:AU23"/>
    <mergeCell ref="AW23:AY23"/>
    <mergeCell ref="AK25:AM25"/>
    <mergeCell ref="AN25:AO25"/>
    <mergeCell ref="AQ25:AS25"/>
    <mergeCell ref="AT25:AU25"/>
    <mergeCell ref="AW25:AY25"/>
    <mergeCell ref="AK26:AM26"/>
    <mergeCell ref="AN26:AO26"/>
    <mergeCell ref="AQ26:AS26"/>
    <mergeCell ref="AT26:AU26"/>
    <mergeCell ref="AW26:AY26"/>
    <mergeCell ref="AP27:AR27"/>
    <mergeCell ref="AV27:AX27"/>
    <mergeCell ref="AP33:AR33"/>
    <mergeCell ref="AV33:AX33"/>
    <mergeCell ref="AZ25:BA25"/>
    <mergeCell ref="AZ26:BA26"/>
  </mergeCells>
  <pageMargins left="0.7" right="0.7" top="0.75" bottom="0.75"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C1B23"/>
  </sheetPr>
  <dimension ref="A1:AR75"/>
  <sheetViews>
    <sheetView showGridLines="0" zoomScale="109" zoomScaleNormal="109" workbookViewId="0">
      <pane xSplit="3" ySplit="5" topLeftCell="S6" activePane="bottomRight" state="frozen"/>
      <selection pane="bottomRight" activeCell="AF48" sqref="AF48"/>
      <selection pane="bottomLeft" activeCell="A6" sqref="A6"/>
      <selection pane="topRight" activeCell="Q1" sqref="Q1"/>
    </sheetView>
  </sheetViews>
  <sheetFormatPr defaultColWidth="8.5" defaultRowHeight="14.25"/>
  <cols>
    <col min="1" max="1" width="2" customWidth="1"/>
    <col min="3" max="3" width="16.625" customWidth="1"/>
    <col min="6" max="10" width="9.375" customWidth="1"/>
    <col min="11" max="18" width="9" customWidth="1"/>
    <col min="19" max="19" width="11.875" customWidth="1"/>
    <col min="20" max="22" width="9" customWidth="1"/>
    <col min="23" max="26" width="9.375" style="188" customWidth="1"/>
    <col min="27" max="30" width="10.875" style="188" customWidth="1"/>
    <col min="31" max="31" width="10.875" customWidth="1"/>
    <col min="34" max="34" width="12.5" customWidth="1"/>
    <col min="35" max="35" width="11.125" customWidth="1"/>
    <col min="36" max="36" width="8.125" customWidth="1"/>
  </cols>
  <sheetData>
    <row r="1" spans="1:44" ht="15.75" customHeight="1">
      <c r="A1" s="71"/>
      <c r="K1" s="135" t="s">
        <v>50</v>
      </c>
      <c r="L1" s="135"/>
      <c r="M1" s="135"/>
      <c r="N1" s="135"/>
      <c r="O1" s="135"/>
      <c r="S1" s="72" t="s">
        <v>50</v>
      </c>
    </row>
    <row r="2" spans="1:44" ht="15" customHeight="1">
      <c r="K2" t="s">
        <v>51</v>
      </c>
      <c r="S2" s="221" t="s">
        <v>51</v>
      </c>
    </row>
    <row r="3" spans="1:44" ht="15" customHeight="1">
      <c r="K3" s="100"/>
      <c r="L3" s="222"/>
      <c r="M3" s="222"/>
      <c r="N3" s="222"/>
      <c r="O3" s="222"/>
      <c r="S3" s="223" t="s">
        <v>52</v>
      </c>
    </row>
    <row r="4" spans="1:44" ht="15" customHeight="1">
      <c r="D4" s="3" t="str">
        <f t="shared" ref="D4:AE4" si="0">IF(D7=D40,"OK",D7-D40)</f>
        <v>OK</v>
      </c>
      <c r="E4" s="3" t="str">
        <f t="shared" si="0"/>
        <v>OK</v>
      </c>
      <c r="F4" s="3" t="str">
        <f t="shared" si="0"/>
        <v>OK</v>
      </c>
      <c r="G4" s="224" t="str">
        <f t="shared" si="0"/>
        <v>OK</v>
      </c>
      <c r="H4" s="224" t="str">
        <f t="shared" si="0"/>
        <v>OK</v>
      </c>
      <c r="I4" s="224" t="str">
        <f t="shared" si="0"/>
        <v>OK</v>
      </c>
      <c r="J4" s="224" t="str">
        <f t="shared" si="0"/>
        <v>OK</v>
      </c>
      <c r="K4" s="3" t="str">
        <f t="shared" si="0"/>
        <v>OK</v>
      </c>
      <c r="L4" s="224" t="str">
        <f t="shared" si="0"/>
        <v>OK</v>
      </c>
      <c r="M4" s="224" t="str">
        <f t="shared" si="0"/>
        <v>OK</v>
      </c>
      <c r="N4" s="224" t="str">
        <f t="shared" si="0"/>
        <v>OK</v>
      </c>
      <c r="O4" s="224" t="str">
        <f t="shared" si="0"/>
        <v>OK</v>
      </c>
      <c r="P4" s="3" t="str">
        <f t="shared" si="0"/>
        <v>OK</v>
      </c>
      <c r="Q4" s="224" t="str">
        <f t="shared" si="0"/>
        <v>OK</v>
      </c>
      <c r="R4" s="224" t="str">
        <f t="shared" si="0"/>
        <v>OK</v>
      </c>
      <c r="S4" s="224" t="str">
        <f t="shared" si="0"/>
        <v>OK</v>
      </c>
      <c r="T4" s="224" t="str">
        <f t="shared" si="0"/>
        <v>OK</v>
      </c>
      <c r="U4" s="3" t="str">
        <f t="shared" si="0"/>
        <v>OK</v>
      </c>
      <c r="V4" s="224" t="str">
        <f t="shared" si="0"/>
        <v>OK</v>
      </c>
      <c r="W4" s="224" t="str">
        <f t="shared" ca="1" si="0"/>
        <v>OK</v>
      </c>
      <c r="X4" s="224" t="str">
        <f t="shared" ca="1" si="0"/>
        <v>OK</v>
      </c>
      <c r="Y4" s="224" t="str">
        <f t="shared" ca="1" si="0"/>
        <v>OK</v>
      </c>
      <c r="Z4" s="224" t="str">
        <f ca="1">IF(Z7=Z40,"OK",Z7-Z40)</f>
        <v>OK</v>
      </c>
      <c r="AA4" s="224" t="str">
        <f t="shared" ca="1" si="0"/>
        <v>OK</v>
      </c>
      <c r="AB4" s="224" t="str">
        <f t="shared" ca="1" si="0"/>
        <v>OK</v>
      </c>
      <c r="AC4" s="224" t="str">
        <f t="shared" ca="1" si="0"/>
        <v>OK</v>
      </c>
      <c r="AD4" s="224" t="str">
        <f t="shared" ca="1" si="0"/>
        <v>OK</v>
      </c>
      <c r="AE4" s="224" t="str">
        <f t="shared" ca="1" si="0"/>
        <v>OK</v>
      </c>
      <c r="AF4" s="224"/>
      <c r="AG4" s="224"/>
      <c r="AH4" s="224"/>
      <c r="AI4" s="224"/>
      <c r="AJ4" s="224"/>
      <c r="AK4" s="224"/>
      <c r="AL4" s="224"/>
      <c r="AM4" s="224"/>
      <c r="AN4" s="224"/>
      <c r="AO4" s="224"/>
      <c r="AP4" s="224"/>
      <c r="AQ4" s="224"/>
      <c r="AR4" s="224"/>
    </row>
    <row r="5" spans="1:44" ht="15" customHeight="1">
      <c r="A5" s="746" t="s">
        <v>87</v>
      </c>
      <c r="B5" s="746"/>
      <c r="C5" s="746"/>
      <c r="D5" s="76">
        <v>2020</v>
      </c>
      <c r="E5" s="76">
        <v>2021</v>
      </c>
      <c r="F5" s="76">
        <v>2022</v>
      </c>
      <c r="G5" s="225" t="s">
        <v>26</v>
      </c>
      <c r="H5" s="225" t="s">
        <v>26</v>
      </c>
      <c r="I5" s="225" t="s">
        <v>26</v>
      </c>
      <c r="J5" s="225" t="s">
        <v>26</v>
      </c>
      <c r="K5" s="76">
        <v>2023</v>
      </c>
      <c r="L5" s="225" t="s">
        <v>30</v>
      </c>
      <c r="M5" s="225" t="s">
        <v>31</v>
      </c>
      <c r="N5" s="225" t="s">
        <v>32</v>
      </c>
      <c r="O5" s="225" t="s">
        <v>33</v>
      </c>
      <c r="P5" s="76">
        <v>2024</v>
      </c>
      <c r="Q5" s="225" t="s">
        <v>34</v>
      </c>
      <c r="R5" s="225" t="s">
        <v>34</v>
      </c>
      <c r="S5" s="225" t="s">
        <v>34</v>
      </c>
      <c r="T5" s="225" t="s">
        <v>34</v>
      </c>
      <c r="U5" s="76">
        <v>2025</v>
      </c>
      <c r="V5" s="225" t="s">
        <v>38</v>
      </c>
      <c r="W5" s="598" t="s">
        <v>58</v>
      </c>
      <c r="X5" s="598" t="s">
        <v>59</v>
      </c>
      <c r="Y5" s="598" t="s">
        <v>60</v>
      </c>
      <c r="Z5" s="598">
        <v>2026</v>
      </c>
      <c r="AA5" s="598">
        <v>2027</v>
      </c>
      <c r="AB5" s="598">
        <v>2028</v>
      </c>
      <c r="AC5" s="598">
        <v>2029</v>
      </c>
      <c r="AD5" s="598">
        <v>2030</v>
      </c>
      <c r="AE5" s="598">
        <v>2031</v>
      </c>
      <c r="AF5" s="226"/>
      <c r="AG5" s="226"/>
      <c r="AH5" s="226"/>
      <c r="AI5" s="226"/>
      <c r="AJ5" s="226"/>
      <c r="AK5" s="226"/>
      <c r="AL5" s="226"/>
      <c r="AM5" s="226"/>
      <c r="AN5" s="226"/>
      <c r="AO5" s="226"/>
      <c r="AP5" s="226"/>
      <c r="AQ5" s="226"/>
      <c r="AR5" s="226"/>
    </row>
    <row r="6" spans="1:44" ht="15" customHeight="1">
      <c r="A6" s="3"/>
      <c r="B6" s="227"/>
      <c r="C6" s="227"/>
      <c r="D6" s="228"/>
      <c r="E6" s="228"/>
      <c r="F6" s="228"/>
      <c r="G6" s="229"/>
      <c r="H6" s="229"/>
      <c r="I6" s="229"/>
      <c r="J6" s="229"/>
      <c r="K6" s="228"/>
      <c r="L6" s="229"/>
      <c r="M6" s="229"/>
      <c r="N6" s="229"/>
      <c r="O6" s="229"/>
      <c r="P6" s="228"/>
      <c r="Q6" s="229"/>
      <c r="R6" s="229"/>
      <c r="S6" s="229"/>
      <c r="T6" s="229"/>
      <c r="U6" s="228"/>
      <c r="V6" s="229"/>
      <c r="W6" s="230"/>
      <c r="X6" s="230"/>
      <c r="Y6" s="230"/>
      <c r="Z6" s="230"/>
      <c r="AA6" s="230"/>
      <c r="AB6" s="230"/>
      <c r="AC6" s="230"/>
      <c r="AD6" s="230"/>
      <c r="AE6" s="230"/>
      <c r="AF6" s="231"/>
      <c r="AG6" s="231"/>
      <c r="AH6" s="231"/>
      <c r="AI6" s="231"/>
      <c r="AJ6" s="231"/>
      <c r="AK6" s="231"/>
      <c r="AL6" s="231"/>
      <c r="AM6" s="231"/>
      <c r="AN6" s="231"/>
      <c r="AO6" s="231"/>
      <c r="AP6" s="231"/>
      <c r="AQ6" s="231"/>
      <c r="AR6" s="231"/>
    </row>
    <row r="7" spans="1:44" ht="15.75" customHeight="1">
      <c r="A7" s="232" t="s">
        <v>88</v>
      </c>
      <c r="B7" s="233"/>
      <c r="C7" s="233"/>
      <c r="D7" s="234">
        <f t="shared" ref="D7:V7" si="1">D9+D14</f>
        <v>319616</v>
      </c>
      <c r="E7" s="234">
        <f t="shared" si="1"/>
        <v>359268</v>
      </c>
      <c r="F7" s="234">
        <f t="shared" si="1"/>
        <v>365264</v>
      </c>
      <c r="G7" s="235">
        <f t="shared" si="1"/>
        <v>369491</v>
      </c>
      <c r="H7" s="235">
        <f t="shared" si="1"/>
        <v>383044</v>
      </c>
      <c r="I7" s="235">
        <f t="shared" si="1"/>
        <v>396711</v>
      </c>
      <c r="J7" s="235">
        <f t="shared" si="1"/>
        <v>402392</v>
      </c>
      <c r="K7" s="234">
        <f t="shared" si="1"/>
        <v>402392</v>
      </c>
      <c r="L7" s="235">
        <f t="shared" si="1"/>
        <v>407350</v>
      </c>
      <c r="M7" s="235">
        <f t="shared" si="1"/>
        <v>414770</v>
      </c>
      <c r="N7" s="235">
        <f t="shared" si="1"/>
        <v>430266</v>
      </c>
      <c r="O7" s="235">
        <f t="shared" si="1"/>
        <v>450256</v>
      </c>
      <c r="P7" s="234">
        <f t="shared" si="1"/>
        <v>450256</v>
      </c>
      <c r="Q7" s="235">
        <f t="shared" si="1"/>
        <v>475374</v>
      </c>
      <c r="R7" s="235">
        <f t="shared" si="1"/>
        <v>502053</v>
      </c>
      <c r="S7" s="235">
        <f t="shared" si="1"/>
        <v>536469</v>
      </c>
      <c r="T7" s="235">
        <f t="shared" si="1"/>
        <v>595281</v>
      </c>
      <c r="U7" s="234">
        <f t="shared" si="1"/>
        <v>595281</v>
      </c>
      <c r="V7" s="235">
        <f t="shared" si="1"/>
        <v>703919</v>
      </c>
      <c r="W7" s="236">
        <f ca="1">W9+W14</f>
        <v>814950.1009571529</v>
      </c>
      <c r="X7" s="236">
        <f t="shared" ref="X7:AE7" ca="1" si="2">X9+X14</f>
        <v>866591.19037935021</v>
      </c>
      <c r="Y7" s="236">
        <f t="shared" ca="1" si="2"/>
        <v>928345.17841842235</v>
      </c>
      <c r="Z7" s="236">
        <f t="shared" ca="1" si="2"/>
        <v>928345.17841842235</v>
      </c>
      <c r="AA7" s="236">
        <f t="shared" ca="1" si="2"/>
        <v>1087431.4598706821</v>
      </c>
      <c r="AB7" s="236">
        <f t="shared" ca="1" si="2"/>
        <v>1280692.2706366847</v>
      </c>
      <c r="AC7" s="236">
        <f t="shared" ca="1" si="2"/>
        <v>1475396.3213071977</v>
      </c>
      <c r="AD7" s="236">
        <f t="shared" ca="1" si="2"/>
        <v>1671992.6810352823</v>
      </c>
      <c r="AE7" s="236">
        <f t="shared" ca="1" si="2"/>
        <v>1837821.8476566216</v>
      </c>
      <c r="AF7" s="237"/>
      <c r="AG7" s="237"/>
      <c r="AH7" s="237"/>
      <c r="AI7" s="237"/>
      <c r="AJ7" s="237"/>
      <c r="AK7" s="237"/>
      <c r="AL7" s="237"/>
      <c r="AM7" s="237"/>
      <c r="AN7" s="237"/>
      <c r="AO7" s="237"/>
      <c r="AP7" s="237"/>
      <c r="AQ7" s="237"/>
      <c r="AR7" s="237"/>
    </row>
    <row r="8" spans="1:44" ht="15.75" customHeight="1">
      <c r="A8" s="238"/>
      <c r="B8" s="227"/>
      <c r="C8" s="227"/>
      <c r="D8" s="228"/>
      <c r="E8" s="228"/>
      <c r="F8" s="228"/>
      <c r="G8" s="229"/>
      <c r="H8" s="229"/>
      <c r="I8" s="229"/>
      <c r="J8" s="229"/>
      <c r="K8" s="228"/>
      <c r="L8" s="229"/>
      <c r="M8" s="229"/>
      <c r="N8" s="229"/>
      <c r="O8" s="229"/>
      <c r="P8" s="228"/>
      <c r="Q8" s="229"/>
      <c r="R8" s="229"/>
      <c r="S8" s="229"/>
      <c r="T8" s="229"/>
      <c r="U8" s="228"/>
      <c r="V8" s="229"/>
      <c r="W8" s="230"/>
      <c r="X8" s="230"/>
      <c r="Y8" s="230"/>
      <c r="Z8" s="230"/>
      <c r="AA8" s="230"/>
      <c r="AB8" s="230"/>
      <c r="AC8" s="230"/>
      <c r="AD8" s="230"/>
      <c r="AE8" s="230"/>
    </row>
    <row r="9" spans="1:44" ht="15" customHeight="1">
      <c r="A9" s="239" t="s">
        <v>89</v>
      </c>
      <c r="B9" s="240"/>
      <c r="C9" s="240"/>
      <c r="D9" s="241">
        <f t="shared" ref="D9:V9" si="3">D10+D11+D12</f>
        <v>174296</v>
      </c>
      <c r="E9" s="241">
        <f t="shared" si="3"/>
        <v>188143</v>
      </c>
      <c r="F9" s="241">
        <f t="shared" si="3"/>
        <v>164795</v>
      </c>
      <c r="G9" s="242">
        <f t="shared" si="3"/>
        <v>161985</v>
      </c>
      <c r="H9" s="242">
        <f t="shared" si="3"/>
        <v>168788</v>
      </c>
      <c r="I9" s="242">
        <f t="shared" si="3"/>
        <v>176310</v>
      </c>
      <c r="J9" s="242">
        <f t="shared" si="3"/>
        <v>171530</v>
      </c>
      <c r="K9" s="241">
        <f t="shared" si="3"/>
        <v>171530</v>
      </c>
      <c r="L9" s="242">
        <f t="shared" si="3"/>
        <v>165471</v>
      </c>
      <c r="M9" s="242">
        <f t="shared" si="3"/>
        <v>161995</v>
      </c>
      <c r="N9" s="242">
        <f t="shared" si="3"/>
        <v>157541</v>
      </c>
      <c r="O9" s="242">
        <f t="shared" si="3"/>
        <v>163711</v>
      </c>
      <c r="P9" s="241">
        <f t="shared" si="3"/>
        <v>163711</v>
      </c>
      <c r="Q9" s="242">
        <f t="shared" si="3"/>
        <v>162052</v>
      </c>
      <c r="R9" s="242">
        <f t="shared" si="3"/>
        <v>166216</v>
      </c>
      <c r="S9" s="242">
        <f t="shared" si="3"/>
        <v>173947</v>
      </c>
      <c r="T9" s="242">
        <f t="shared" si="3"/>
        <v>206038</v>
      </c>
      <c r="U9" s="241">
        <f t="shared" si="3"/>
        <v>206038</v>
      </c>
      <c r="V9" s="242">
        <f t="shared" si="3"/>
        <v>213753</v>
      </c>
      <c r="W9" s="243">
        <f ca="1">SUM(W10:W12)</f>
        <v>286540.59229379281</v>
      </c>
      <c r="X9" s="243">
        <f t="shared" ref="X9:AE9" ca="1" si="4">SUM(X10:X12)</f>
        <v>290989.94980001153</v>
      </c>
      <c r="Y9" s="243">
        <f t="shared" ca="1" si="4"/>
        <v>286778.24586448463</v>
      </c>
      <c r="Z9" s="243">
        <f t="shared" ca="1" si="4"/>
        <v>286778.24586448463</v>
      </c>
      <c r="AA9" s="243">
        <f t="shared" ca="1" si="4"/>
        <v>224340.92004105283</v>
      </c>
      <c r="AB9" s="243">
        <f t="shared" ca="1" si="4"/>
        <v>192665.61846719723</v>
      </c>
      <c r="AC9" s="243">
        <f t="shared" ca="1" si="4"/>
        <v>172138.61095083674</v>
      </c>
      <c r="AD9" s="243">
        <f t="shared" ca="1" si="4"/>
        <v>223380.22637458725</v>
      </c>
      <c r="AE9" s="243">
        <f t="shared" ca="1" si="4"/>
        <v>282418.6043892774</v>
      </c>
      <c r="AF9" s="237"/>
      <c r="AG9" s="237"/>
      <c r="AH9" s="237"/>
      <c r="AI9" s="237"/>
      <c r="AJ9" s="237"/>
      <c r="AK9" s="237"/>
      <c r="AL9" s="237"/>
      <c r="AM9" s="237"/>
      <c r="AN9" s="237"/>
      <c r="AO9" s="237"/>
      <c r="AP9" s="237"/>
      <c r="AQ9" s="237"/>
      <c r="AR9" s="237"/>
    </row>
    <row r="10" spans="1:44" ht="18.75" customHeight="1">
      <c r="A10" s="93" t="s">
        <v>90</v>
      </c>
      <c r="B10" s="84"/>
      <c r="C10" s="84"/>
      <c r="D10" s="134">
        <v>136694</v>
      </c>
      <c r="E10" s="134">
        <v>139649</v>
      </c>
      <c r="F10" s="134">
        <v>113762</v>
      </c>
      <c r="G10" s="244">
        <f>'Q - BS'!C9</f>
        <v>115102</v>
      </c>
      <c r="H10" s="244">
        <f>'Q - BS'!D9</f>
        <v>118332</v>
      </c>
      <c r="I10" s="244">
        <f>'Q - BS'!E9</f>
        <v>119935</v>
      </c>
      <c r="J10" s="244">
        <f>'Q - BS'!F9</f>
        <v>110916</v>
      </c>
      <c r="K10" s="134">
        <v>110916</v>
      </c>
      <c r="L10" s="244">
        <f>'Q - BS'!G9</f>
        <v>108090</v>
      </c>
      <c r="M10" s="244">
        <f>'Q - BS'!H9</f>
        <v>100725</v>
      </c>
      <c r="N10" s="244">
        <f>'Q - BS'!I9</f>
        <v>93230</v>
      </c>
      <c r="O10" s="244">
        <f>'Q - BS'!J9</f>
        <v>95657</v>
      </c>
      <c r="P10" s="134">
        <v>95657</v>
      </c>
      <c r="Q10" s="244">
        <f>'Q - BS'!K9</f>
        <v>95328</v>
      </c>
      <c r="R10" s="244">
        <f>'Q - BS'!L9</f>
        <v>95148</v>
      </c>
      <c r="S10" s="244">
        <f>'Q - BS'!M9</f>
        <v>98496</v>
      </c>
      <c r="T10" s="244">
        <f>'Q - BS'!N9</f>
        <v>126843</v>
      </c>
      <c r="U10" s="134">
        <v>126843</v>
      </c>
      <c r="V10" s="244">
        <f>'Q - BS'!O9</f>
        <v>126840</v>
      </c>
      <c r="W10" s="245">
        <f ca="1">'CFS - Estimates'!W33</f>
        <v>200340.66765750293</v>
      </c>
      <c r="X10" s="245">
        <f ca="1">'CFS - Estimates'!X33</f>
        <v>193738.29357517144</v>
      </c>
      <c r="Y10" s="245">
        <f ca="1">'CFS - Estimates'!Y33</f>
        <v>176128.91257590844</v>
      </c>
      <c r="Z10" s="245">
        <f ca="1">'CFS - Estimates'!Z33</f>
        <v>176128.91257590844</v>
      </c>
      <c r="AA10" s="245">
        <f ca="1">'CFS - Estimates'!AA33</f>
        <v>110213.2072733868</v>
      </c>
      <c r="AB10" s="245">
        <f ca="1">'CFS - Estimates'!AB33</f>
        <v>57465.49965416381</v>
      </c>
      <c r="AC10" s="245">
        <f ca="1">'CFS - Estimates'!AC33</f>
        <v>16898.453184685699</v>
      </c>
      <c r="AD10" s="245">
        <f ca="1">'CFS - Estimates'!AD33</f>
        <v>48646.356427624793</v>
      </c>
      <c r="AE10" s="245">
        <f ca="1">'CFS - Estimates'!AE33</f>
        <v>89855.562942978548</v>
      </c>
      <c r="AF10" s="246"/>
      <c r="AG10" s="246"/>
      <c r="AH10" s="246"/>
      <c r="AI10" s="246"/>
      <c r="AJ10" s="247"/>
      <c r="AK10" s="247"/>
      <c r="AL10" s="247"/>
      <c r="AM10" s="247"/>
      <c r="AN10" s="246"/>
      <c r="AO10" s="246"/>
      <c r="AP10" s="246"/>
      <c r="AQ10" s="246"/>
      <c r="AR10" s="246"/>
    </row>
    <row r="11" spans="1:44" ht="18.75" customHeight="1">
      <c r="A11" s="93" t="s">
        <v>91</v>
      </c>
      <c r="B11" s="84"/>
      <c r="C11" s="84"/>
      <c r="D11" s="134">
        <v>30930</v>
      </c>
      <c r="E11" s="134">
        <v>39304</v>
      </c>
      <c r="F11" s="134">
        <v>40258</v>
      </c>
      <c r="G11" s="244">
        <f>'Q - BS'!C10</f>
        <v>36036</v>
      </c>
      <c r="H11" s="244">
        <f>'Q - BS'!D10</f>
        <v>38804</v>
      </c>
      <c r="I11" s="244">
        <f>'Q - BS'!E10</f>
        <v>41020</v>
      </c>
      <c r="J11" s="244">
        <f>'Q - BS'!F10</f>
        <v>47964</v>
      </c>
      <c r="K11" s="134">
        <v>47964</v>
      </c>
      <c r="L11" s="244">
        <f>'Q - BS'!G10</f>
        <v>44552</v>
      </c>
      <c r="M11" s="244">
        <f>'Q - BS'!H10</f>
        <v>47087</v>
      </c>
      <c r="N11" s="244">
        <f>'Q - BS'!I10</f>
        <v>49104</v>
      </c>
      <c r="O11" s="244">
        <f>'Q - BS'!J10</f>
        <v>52340</v>
      </c>
      <c r="P11" s="134">
        <v>52340</v>
      </c>
      <c r="Q11" s="244">
        <f>'Q - BS'!K10</f>
        <v>51000</v>
      </c>
      <c r="R11" s="244">
        <f>'Q - BS'!L10</f>
        <v>55048</v>
      </c>
      <c r="S11" s="244">
        <f>'Q - BS'!M10</f>
        <v>57148</v>
      </c>
      <c r="T11" s="244">
        <f>'Q - BS'!N10</f>
        <v>62886</v>
      </c>
      <c r="U11" s="134">
        <v>62886</v>
      </c>
      <c r="V11" s="244">
        <f>'Q - BS'!O10</f>
        <v>62999</v>
      </c>
      <c r="W11" s="245">
        <f>W50</f>
        <v>66732.579714085601</v>
      </c>
      <c r="X11" s="245">
        <f t="shared" ref="X11:AE11" si="5">X50</f>
        <v>75288.394145750644</v>
      </c>
      <c r="Y11" s="245">
        <f t="shared" si="5"/>
        <v>85660.346979952417</v>
      </c>
      <c r="Z11" s="245">
        <f t="shared" si="5"/>
        <v>85660.346979952417</v>
      </c>
      <c r="AA11" s="245">
        <f t="shared" si="5"/>
        <v>88353.171096024555</v>
      </c>
      <c r="AB11" s="245">
        <f t="shared" si="5"/>
        <v>104666.59621934591</v>
      </c>
      <c r="AC11" s="245">
        <f t="shared" si="5"/>
        <v>120180.80348292504</v>
      </c>
      <c r="AD11" s="245">
        <f t="shared" si="5"/>
        <v>135272.06612054663</v>
      </c>
      <c r="AE11" s="245">
        <f t="shared" si="5"/>
        <v>149074.70705481345</v>
      </c>
      <c r="AF11" s="246"/>
      <c r="AG11" s="246"/>
      <c r="AH11" s="246"/>
      <c r="AI11" s="246"/>
      <c r="AJ11" s="247"/>
      <c r="AK11" s="247"/>
      <c r="AL11" s="247"/>
      <c r="AM11" s="247"/>
      <c r="AN11" s="246"/>
      <c r="AO11" s="246"/>
      <c r="AP11" s="246"/>
      <c r="AQ11" s="246"/>
      <c r="AR11" s="246"/>
    </row>
    <row r="12" spans="1:44" ht="18.75" customHeight="1">
      <c r="A12" s="93" t="s">
        <v>92</v>
      </c>
      <c r="B12" s="84"/>
      <c r="C12" s="84"/>
      <c r="D12" s="134">
        <v>6672</v>
      </c>
      <c r="E12" s="134">
        <v>9190</v>
      </c>
      <c r="F12" s="134">
        <v>10775</v>
      </c>
      <c r="G12" s="244">
        <f>'Q - BS'!C11</f>
        <v>10847</v>
      </c>
      <c r="H12" s="244">
        <f>'Q - BS'!D11</f>
        <v>11652</v>
      </c>
      <c r="I12" s="244">
        <f>'Q - BS'!E11</f>
        <v>15355</v>
      </c>
      <c r="J12" s="244">
        <f>'Q - BS'!F11</f>
        <v>12650</v>
      </c>
      <c r="K12" s="134">
        <v>12650</v>
      </c>
      <c r="L12" s="244">
        <f>'Q - BS'!G11</f>
        <v>12829</v>
      </c>
      <c r="M12" s="244">
        <f>'Q - BS'!H11</f>
        <v>14183</v>
      </c>
      <c r="N12" s="244">
        <f>'Q - BS'!I11</f>
        <v>15207</v>
      </c>
      <c r="O12" s="244">
        <f>'Q - BS'!J11</f>
        <v>15714</v>
      </c>
      <c r="P12" s="134">
        <v>15714</v>
      </c>
      <c r="Q12" s="244">
        <f>'Q - BS'!K11</f>
        <v>15724</v>
      </c>
      <c r="R12" s="244">
        <f>'Q - BS'!L11</f>
        <v>16020</v>
      </c>
      <c r="S12" s="244">
        <f>'Q - BS'!M11</f>
        <v>18303</v>
      </c>
      <c r="T12" s="244">
        <f>'Q - BS'!N11</f>
        <v>16309</v>
      </c>
      <c r="U12" s="134">
        <v>16309</v>
      </c>
      <c r="V12" s="244">
        <f>'Q - BS'!O11</f>
        <v>23914</v>
      </c>
      <c r="W12" s="245">
        <f>W53</f>
        <v>19467.344922204251</v>
      </c>
      <c r="X12" s="245">
        <f t="shared" ref="X12:AE12" si="6">X53</f>
        <v>21963.262079089462</v>
      </c>
      <c r="Y12" s="245">
        <f t="shared" si="6"/>
        <v>24988.986308623793</v>
      </c>
      <c r="Z12" s="245">
        <f t="shared" si="6"/>
        <v>24988.986308623793</v>
      </c>
      <c r="AA12" s="245">
        <f t="shared" si="6"/>
        <v>25774.541671641498</v>
      </c>
      <c r="AB12" s="245">
        <f t="shared" si="6"/>
        <v>30533.522593687525</v>
      </c>
      <c r="AC12" s="245">
        <f t="shared" si="6"/>
        <v>35059.354283226006</v>
      </c>
      <c r="AD12" s="245">
        <f t="shared" si="6"/>
        <v>39461.803826415817</v>
      </c>
      <c r="AE12" s="245">
        <f t="shared" si="6"/>
        <v>43488.33439148539</v>
      </c>
      <c r="AF12" s="246"/>
      <c r="AG12" s="246"/>
      <c r="AH12" s="246"/>
      <c r="AI12" s="246"/>
      <c r="AJ12" s="247"/>
      <c r="AK12" s="247"/>
      <c r="AL12" s="247"/>
      <c r="AM12" s="247"/>
      <c r="AN12" s="246"/>
      <c r="AO12" s="246"/>
      <c r="AP12" s="246"/>
      <c r="AQ12" s="246"/>
      <c r="AR12" s="246"/>
    </row>
    <row r="13" spans="1:44" ht="18.75" customHeight="1">
      <c r="A13" s="93"/>
      <c r="B13" s="84"/>
      <c r="C13" s="84"/>
      <c r="D13" s="85"/>
      <c r="E13" s="85"/>
      <c r="F13" s="85"/>
      <c r="G13" s="132"/>
      <c r="H13" s="132"/>
      <c r="I13" s="132"/>
      <c r="J13" s="132"/>
      <c r="K13" s="134"/>
      <c r="L13" s="135"/>
      <c r="M13" s="135"/>
      <c r="N13" s="135"/>
      <c r="O13" s="135"/>
      <c r="P13" s="134"/>
      <c r="Q13" s="135"/>
      <c r="R13" s="135"/>
      <c r="S13" s="135"/>
      <c r="T13" s="135"/>
      <c r="U13" s="134"/>
      <c r="V13" s="135"/>
      <c r="W13" s="88"/>
      <c r="X13" s="88"/>
      <c r="Y13" s="88"/>
      <c r="Z13" s="88"/>
      <c r="AA13" s="88"/>
      <c r="AB13" s="88"/>
      <c r="AC13" s="88"/>
      <c r="AD13" s="88"/>
      <c r="AE13" s="88"/>
      <c r="AJ13" s="248"/>
      <c r="AK13" s="248"/>
      <c r="AL13" s="248"/>
      <c r="AM13" s="248"/>
    </row>
    <row r="14" spans="1:44" ht="18.75" customHeight="1">
      <c r="A14" s="79" t="s">
        <v>93</v>
      </c>
      <c r="B14" s="80"/>
      <c r="C14" s="80"/>
      <c r="D14" s="241">
        <f>D15+D16+D17+D18+D19</f>
        <v>145320</v>
      </c>
      <c r="E14" s="241">
        <f>E15+E16+E17+E18+E19</f>
        <v>171125</v>
      </c>
      <c r="F14" s="241">
        <f>F15+F16+F17+F18+F19</f>
        <v>200469</v>
      </c>
      <c r="G14" s="242">
        <f>SUM(G15:G19)</f>
        <v>207506</v>
      </c>
      <c r="H14" s="242">
        <f>SUM(H15:H19)</f>
        <v>214256</v>
      </c>
      <c r="I14" s="242">
        <f>SUM(I15:I19)</f>
        <v>220401</v>
      </c>
      <c r="J14" s="242">
        <f>SUM(J15:J19)</f>
        <v>230862</v>
      </c>
      <c r="K14" s="241">
        <f>K15+K16+K17+K18+K19</f>
        <v>230862</v>
      </c>
      <c r="L14" s="242">
        <f>SUM(L15:L19)</f>
        <v>241879</v>
      </c>
      <c r="M14" s="242">
        <f>SUM(M15:M19)</f>
        <v>252775</v>
      </c>
      <c r="N14" s="242">
        <f>SUM(N15:N19)</f>
        <v>272725</v>
      </c>
      <c r="O14" s="242">
        <f>SUM(O15:O19)</f>
        <v>286545</v>
      </c>
      <c r="P14" s="241">
        <f>P15+P16+P17+P18+P19</f>
        <v>286545</v>
      </c>
      <c r="Q14" s="242">
        <f>SUM(Q15:Q19)</f>
        <v>313322</v>
      </c>
      <c r="R14" s="242">
        <f>SUM(R15:R19)</f>
        <v>335837</v>
      </c>
      <c r="S14" s="242">
        <f>SUM(S15:S19)</f>
        <v>362522</v>
      </c>
      <c r="T14" s="242">
        <f>SUM(T15:T19)</f>
        <v>389243</v>
      </c>
      <c r="U14" s="241">
        <f>U15+U16+U17+U18+U19</f>
        <v>389243</v>
      </c>
      <c r="V14" s="242">
        <f>SUM(V15:V19)</f>
        <v>490166</v>
      </c>
      <c r="W14" s="243">
        <f>SUM(W15:W19)</f>
        <v>528409.50866336003</v>
      </c>
      <c r="X14" s="243">
        <f>SUM(X15:X19)</f>
        <v>575601.24057933863</v>
      </c>
      <c r="Y14" s="243">
        <f t="shared" ref="X14:AE14" si="7">SUM(Y15:Y19)</f>
        <v>641566.93255393766</v>
      </c>
      <c r="Z14" s="243">
        <f t="shared" si="7"/>
        <v>641566.93255393766</v>
      </c>
      <c r="AA14" s="243">
        <f t="shared" si="7"/>
        <v>863090.53982962924</v>
      </c>
      <c r="AB14" s="243">
        <f t="shared" si="7"/>
        <v>1088026.6521694874</v>
      </c>
      <c r="AC14" s="243">
        <f t="shared" si="7"/>
        <v>1303257.710356361</v>
      </c>
      <c r="AD14" s="243">
        <f t="shared" si="7"/>
        <v>1448612.454660695</v>
      </c>
      <c r="AE14" s="243">
        <f t="shared" si="7"/>
        <v>1555403.2432673441</v>
      </c>
      <c r="AF14" s="237"/>
      <c r="AG14" s="237"/>
      <c r="AH14" s="237"/>
      <c r="AI14" s="237"/>
      <c r="AJ14" s="249"/>
      <c r="AK14" s="249"/>
      <c r="AL14" s="249"/>
      <c r="AM14" s="249"/>
      <c r="AN14" s="249"/>
      <c r="AO14" s="249"/>
      <c r="AP14" s="249"/>
      <c r="AQ14" s="249"/>
      <c r="AR14" s="249"/>
    </row>
    <row r="15" spans="1:44" ht="18.75" customHeight="1">
      <c r="A15" s="93" t="s">
        <v>94</v>
      </c>
      <c r="B15" s="99"/>
      <c r="C15" s="84"/>
      <c r="D15" s="134">
        <v>20703</v>
      </c>
      <c r="E15" s="134">
        <v>29549</v>
      </c>
      <c r="F15" s="134">
        <v>30492</v>
      </c>
      <c r="G15" s="244">
        <f>'Q - BS'!C14</f>
        <v>31213</v>
      </c>
      <c r="H15" s="244">
        <f>'Q - BS'!D14</f>
        <v>31224</v>
      </c>
      <c r="I15" s="244">
        <f>'Q - BS'!E14</f>
        <v>30907</v>
      </c>
      <c r="J15" s="244">
        <f>'Q - BS'!F14</f>
        <v>31008</v>
      </c>
      <c r="K15" s="134">
        <v>31008</v>
      </c>
      <c r="L15" s="244">
        <f>'Q - BS'!G14</f>
        <v>33994</v>
      </c>
      <c r="M15" s="244">
        <f>'Q - BS'!H14</f>
        <v>34172</v>
      </c>
      <c r="N15" s="244">
        <f>'Q - BS'!I14</f>
        <v>36177</v>
      </c>
      <c r="O15" s="244">
        <f>'Q - BS'!J14</f>
        <v>37982</v>
      </c>
      <c r="P15" s="134">
        <v>37982</v>
      </c>
      <c r="Q15" s="244">
        <f>'Q - BS'!K14</f>
        <v>51029</v>
      </c>
      <c r="R15" s="244">
        <f>'Q - BS'!L14</f>
        <v>52574</v>
      </c>
      <c r="S15" s="244">
        <f>'Q - BS'!M14</f>
        <v>63800</v>
      </c>
      <c r="T15" s="244">
        <f>'Q - BS'!N14</f>
        <v>68687</v>
      </c>
      <c r="U15" s="134">
        <v>68687</v>
      </c>
      <c r="V15" s="244">
        <f>'Q - BS'!O14</f>
        <v>106946</v>
      </c>
      <c r="W15" s="127">
        <f>V15</f>
        <v>106946</v>
      </c>
      <c r="X15" s="127">
        <f>W15</f>
        <v>106946</v>
      </c>
      <c r="Y15" s="127">
        <f>X15</f>
        <v>106946</v>
      </c>
      <c r="Z15" s="127">
        <f>Y15</f>
        <v>106946</v>
      </c>
      <c r="AA15" s="127">
        <f>Z15</f>
        <v>106946</v>
      </c>
      <c r="AB15" s="127">
        <f>AA15</f>
        <v>106946</v>
      </c>
      <c r="AC15" s="127">
        <f>AB15</f>
        <v>106946</v>
      </c>
      <c r="AD15" s="127">
        <f>AC15</f>
        <v>106946</v>
      </c>
      <c r="AE15" s="127">
        <f>AD15</f>
        <v>106946</v>
      </c>
      <c r="AF15" s="246"/>
      <c r="AG15" s="246"/>
      <c r="AH15" s="246"/>
      <c r="AI15" s="246"/>
      <c r="AJ15" s="247"/>
      <c r="AK15" s="247"/>
      <c r="AL15" s="247"/>
      <c r="AM15" s="247"/>
      <c r="AN15" s="246"/>
      <c r="AO15" s="246"/>
      <c r="AP15" s="246"/>
      <c r="AQ15" s="246"/>
      <c r="AR15" s="246"/>
    </row>
    <row r="16" spans="1:44" ht="18.75" customHeight="1">
      <c r="A16" s="99" t="s">
        <v>95</v>
      </c>
      <c r="B16" s="99"/>
      <c r="C16" s="84"/>
      <c r="D16" s="134">
        <v>84749</v>
      </c>
      <c r="E16" s="134">
        <v>97599</v>
      </c>
      <c r="F16" s="134">
        <v>112668</v>
      </c>
      <c r="G16" s="244">
        <f>'Q - BS'!C15</f>
        <v>117560</v>
      </c>
      <c r="H16" s="244">
        <f>'Q - BS'!D15</f>
        <v>121208</v>
      </c>
      <c r="I16" s="244">
        <f>'Q - BS'!E15</f>
        <v>125705</v>
      </c>
      <c r="J16" s="244">
        <f>'Q - BS'!F15</f>
        <v>134345</v>
      </c>
      <c r="K16" s="134">
        <v>134345</v>
      </c>
      <c r="L16" s="244">
        <f>'Q - BS'!G15</f>
        <v>143182</v>
      </c>
      <c r="M16" s="244">
        <f>'Q - BS'!H15</f>
        <v>151155</v>
      </c>
      <c r="N16" s="244">
        <f>'Q - BS'!I15</f>
        <v>161270</v>
      </c>
      <c r="O16" s="244">
        <f>'Q - BS'!J15</f>
        <v>171036</v>
      </c>
      <c r="P16" s="134">
        <v>171036</v>
      </c>
      <c r="Q16" s="244">
        <f>'Q - BS'!K15</f>
        <v>185062</v>
      </c>
      <c r="R16" s="244">
        <f>'Q - BS'!L15</f>
        <v>203231</v>
      </c>
      <c r="S16" s="244">
        <f>'Q - BS'!M15</f>
        <v>223787</v>
      </c>
      <c r="T16" s="244">
        <f>'Q - BS'!N15</f>
        <v>246597</v>
      </c>
      <c r="U16" s="134">
        <v>246597</v>
      </c>
      <c r="V16" s="244">
        <f>'Q - BS'!O15</f>
        <v>281020</v>
      </c>
      <c r="W16" s="127">
        <f>V16-'CFS - Estimates'!W17-'CFS - Estimates'!W9</f>
        <v>319263.50866335997</v>
      </c>
      <c r="X16" s="127">
        <f>W16-'CFS - Estimates'!X17-'CFS - Estimates'!X9</f>
        <v>366455.24057933863</v>
      </c>
      <c r="Y16" s="127">
        <f>X16-'CFS - Estimates'!Y17-'CFS - Estimates'!Y9</f>
        <v>432420.93255393772</v>
      </c>
      <c r="Z16" s="127">
        <f>Y16</f>
        <v>432420.93255393772</v>
      </c>
      <c r="AA16" s="127">
        <f>Z16-'CFS - Estimates'!AA17-'CFS - Estimates'!AA9</f>
        <v>653944.53982962924</v>
      </c>
      <c r="AB16" s="127">
        <f>AA16-'CFS - Estimates'!AB17-'CFS - Estimates'!AB9</f>
        <v>878880.65216948744</v>
      </c>
      <c r="AC16" s="127">
        <f>AB16-'CFS - Estimates'!AC17-'CFS - Estimates'!AC9</f>
        <v>1094111.710356361</v>
      </c>
      <c r="AD16" s="127">
        <f>AC16-'CFS - Estimates'!AD17-'CFS - Estimates'!AD9</f>
        <v>1239466.454660695</v>
      </c>
      <c r="AE16" s="127">
        <f>AD16-'CFS - Estimates'!AE17-'CFS - Estimates'!AE9</f>
        <v>1346257.2432673441</v>
      </c>
      <c r="AF16" s="246"/>
      <c r="AG16" s="246"/>
      <c r="AH16" s="246"/>
      <c r="AI16" s="246"/>
      <c r="AJ16" s="247"/>
      <c r="AK16" s="247"/>
      <c r="AL16" s="247"/>
      <c r="AM16" s="247"/>
      <c r="AN16" s="246"/>
      <c r="AO16" s="246"/>
      <c r="AP16" s="246"/>
      <c r="AQ16" s="246"/>
      <c r="AR16" s="246"/>
    </row>
    <row r="17" spans="1:44" ht="18.75" customHeight="1">
      <c r="A17" s="99" t="s">
        <v>96</v>
      </c>
      <c r="B17" s="99"/>
      <c r="C17" s="84"/>
      <c r="D17" s="134">
        <v>12211</v>
      </c>
      <c r="E17" s="134">
        <v>12959</v>
      </c>
      <c r="F17" s="134">
        <v>14381</v>
      </c>
      <c r="G17" s="244">
        <f>'Q - BS'!C16</f>
        <v>14447</v>
      </c>
      <c r="H17" s="244">
        <f>'Q - BS'!D16</f>
        <v>14469</v>
      </c>
      <c r="I17" s="244">
        <f>'Q - BS'!E16</f>
        <v>14199</v>
      </c>
      <c r="J17" s="244">
        <f>'Q - BS'!F16</f>
        <v>14091</v>
      </c>
      <c r="K17" s="134">
        <v>14091</v>
      </c>
      <c r="L17" s="244">
        <f>'Q - BS'!G16</f>
        <v>13768</v>
      </c>
      <c r="M17" s="244">
        <f>'Q - BS'!H16</f>
        <v>13606</v>
      </c>
      <c r="N17" s="244">
        <f>'Q - BS'!I16</f>
        <v>13561</v>
      </c>
      <c r="O17" s="244">
        <f>'Q - BS'!J16</f>
        <v>13588</v>
      </c>
      <c r="P17" s="134">
        <v>13588</v>
      </c>
      <c r="Q17" s="244">
        <f>'Q - BS'!K16</f>
        <v>13722</v>
      </c>
      <c r="R17" s="244">
        <f>'Q - BS'!L16</f>
        <v>14255</v>
      </c>
      <c r="S17" s="244">
        <f>'Q - BS'!M16</f>
        <v>14524</v>
      </c>
      <c r="T17" s="244">
        <f>'Q - BS'!N16</f>
        <v>15221</v>
      </c>
      <c r="U17" s="134">
        <v>15221</v>
      </c>
      <c r="V17" s="244">
        <f>'Q - BS'!O16</f>
        <v>15509</v>
      </c>
      <c r="W17" s="127">
        <f>V17</f>
        <v>15509</v>
      </c>
      <c r="X17" s="127">
        <f>W17</f>
        <v>15509</v>
      </c>
      <c r="Y17" s="127">
        <f>X17</f>
        <v>15509</v>
      </c>
      <c r="Z17" s="127">
        <f>Y17</f>
        <v>15509</v>
      </c>
      <c r="AA17" s="127">
        <f>Z17</f>
        <v>15509</v>
      </c>
      <c r="AB17" s="127">
        <f>AA17</f>
        <v>15509</v>
      </c>
      <c r="AC17" s="127">
        <f>AB17</f>
        <v>15509</v>
      </c>
      <c r="AD17" s="127">
        <f>AC17</f>
        <v>15509</v>
      </c>
      <c r="AE17" s="127">
        <f>AD17</f>
        <v>15509</v>
      </c>
      <c r="AF17" s="246"/>
      <c r="AG17" s="246"/>
      <c r="AH17" s="246"/>
      <c r="AI17" s="246"/>
      <c r="AJ17" s="247"/>
      <c r="AK17" s="247"/>
      <c r="AL17" s="247"/>
      <c r="AM17" s="247"/>
      <c r="AN17" s="246"/>
      <c r="AO17" s="246"/>
      <c r="AP17" s="246"/>
      <c r="AQ17" s="246"/>
      <c r="AR17" s="246"/>
    </row>
    <row r="18" spans="1:44" ht="19.5" customHeight="1">
      <c r="A18" s="99" t="s">
        <v>97</v>
      </c>
      <c r="B18" s="99"/>
      <c r="C18" s="84"/>
      <c r="D18" s="134">
        <v>21175</v>
      </c>
      <c r="E18" s="134">
        <v>22956</v>
      </c>
      <c r="F18" s="134">
        <v>28960</v>
      </c>
      <c r="G18" s="244">
        <f>'Q - BS'!C17</f>
        <v>28994</v>
      </c>
      <c r="H18" s="244">
        <f>'Q - BS'!D17</f>
        <v>29210</v>
      </c>
      <c r="I18" s="244">
        <f>'Q - BS'!E17</f>
        <v>29146</v>
      </c>
      <c r="J18" s="244">
        <f>'Q - BS'!F17</f>
        <v>29198</v>
      </c>
      <c r="K18" s="134">
        <v>29198</v>
      </c>
      <c r="L18" s="244">
        <f>'Q - BS'!G17</f>
        <v>29183</v>
      </c>
      <c r="M18" s="244">
        <f>'Q - BS'!H17</f>
        <v>29185</v>
      </c>
      <c r="N18" s="244">
        <f>'Q - BS'!I17</f>
        <v>31935</v>
      </c>
      <c r="O18" s="244">
        <f>'Q - BS'!J17</f>
        <v>31885</v>
      </c>
      <c r="P18" s="134">
        <v>31885</v>
      </c>
      <c r="Q18" s="244">
        <f>'Q - BS'!K17</f>
        <v>32173</v>
      </c>
      <c r="R18" s="244">
        <f>'Q - BS'!L17</f>
        <v>32335</v>
      </c>
      <c r="S18" s="244">
        <f>'Q - BS'!M17</f>
        <v>33269</v>
      </c>
      <c r="T18" s="244">
        <f>'Q - BS'!N17</f>
        <v>33380</v>
      </c>
      <c r="U18" s="134">
        <v>33380</v>
      </c>
      <c r="V18" s="244">
        <f>'Q - BS'!O17</f>
        <v>57774</v>
      </c>
      <c r="W18" s="127">
        <f>V18</f>
        <v>57774</v>
      </c>
      <c r="X18" s="127">
        <f>W18</f>
        <v>57774</v>
      </c>
      <c r="Y18" s="127">
        <f>X18</f>
        <v>57774</v>
      </c>
      <c r="Z18" s="127">
        <f>Y18</f>
        <v>57774</v>
      </c>
      <c r="AA18" s="127">
        <f>Z18</f>
        <v>57774</v>
      </c>
      <c r="AB18" s="127">
        <f>AA18</f>
        <v>57774</v>
      </c>
      <c r="AC18" s="127">
        <f>AB18</f>
        <v>57774</v>
      </c>
      <c r="AD18" s="127">
        <f>AC18</f>
        <v>57774</v>
      </c>
      <c r="AE18" s="127">
        <f>AD18</f>
        <v>57774</v>
      </c>
      <c r="AF18" s="246"/>
      <c r="AG18" s="246"/>
      <c r="AH18" s="246"/>
      <c r="AI18" s="246"/>
      <c r="AJ18" s="247"/>
      <c r="AK18" s="247"/>
      <c r="AL18" s="247"/>
      <c r="AM18" s="247"/>
      <c r="AN18" s="246"/>
      <c r="AO18" s="246"/>
      <c r="AP18" s="246"/>
      <c r="AQ18" s="246"/>
      <c r="AR18" s="246"/>
    </row>
    <row r="19" spans="1:44" ht="19.5" customHeight="1">
      <c r="A19" s="250" t="s">
        <v>98</v>
      </c>
      <c r="B19" s="99"/>
      <c r="C19" s="84"/>
      <c r="D19" s="134">
        <v>6482</v>
      </c>
      <c r="E19" s="134">
        <v>8062</v>
      </c>
      <c r="F19" s="134">
        <v>13968</v>
      </c>
      <c r="G19" s="244">
        <f>'Q - BS'!C18</f>
        <v>15292</v>
      </c>
      <c r="H19" s="244">
        <f>'Q - BS'!D18</f>
        <v>18145</v>
      </c>
      <c r="I19" s="244">
        <f>'Q - BS'!E18</f>
        <v>20444</v>
      </c>
      <c r="J19" s="244">
        <f>'Q - BS'!F18</f>
        <v>22220</v>
      </c>
      <c r="K19" s="134">
        <v>22220</v>
      </c>
      <c r="L19" s="244">
        <f>'Q - BS'!G18</f>
        <v>21752</v>
      </c>
      <c r="M19" s="244">
        <f>'Q - BS'!H18</f>
        <v>24657</v>
      </c>
      <c r="N19" s="244">
        <f>'Q - BS'!I18</f>
        <v>29782</v>
      </c>
      <c r="O19" s="244">
        <f>'Q - BS'!J18</f>
        <v>32054</v>
      </c>
      <c r="P19" s="134">
        <v>32054</v>
      </c>
      <c r="Q19" s="244">
        <f>'Q - BS'!K18</f>
        <v>31336</v>
      </c>
      <c r="R19" s="244">
        <f>'Q - BS'!L18</f>
        <v>33442</v>
      </c>
      <c r="S19" s="244">
        <f>'Q - BS'!M18</f>
        <v>27142</v>
      </c>
      <c r="T19" s="244">
        <f>'Q - BS'!N18</f>
        <v>25358</v>
      </c>
      <c r="U19" s="134">
        <v>25358</v>
      </c>
      <c r="V19" s="244">
        <f>'Q - BS'!O18</f>
        <v>28917</v>
      </c>
      <c r="W19" s="127">
        <f>V19</f>
        <v>28917</v>
      </c>
      <c r="X19" s="127">
        <f>W19</f>
        <v>28917</v>
      </c>
      <c r="Y19" s="127">
        <f>X19</f>
        <v>28917</v>
      </c>
      <c r="Z19" s="127">
        <f>Y19</f>
        <v>28917</v>
      </c>
      <c r="AA19" s="127">
        <f>Z19</f>
        <v>28917</v>
      </c>
      <c r="AB19" s="127">
        <f>AA19</f>
        <v>28917</v>
      </c>
      <c r="AC19" s="127">
        <f>AB19</f>
        <v>28917</v>
      </c>
      <c r="AD19" s="127">
        <f>AC19</f>
        <v>28917</v>
      </c>
      <c r="AE19" s="127">
        <f>AD19</f>
        <v>28917</v>
      </c>
      <c r="AF19" s="246"/>
      <c r="AG19" s="246"/>
      <c r="AH19" s="246"/>
      <c r="AI19" s="246"/>
      <c r="AJ19" s="247"/>
      <c r="AK19" s="247"/>
      <c r="AL19" s="247"/>
      <c r="AM19" s="247"/>
      <c r="AN19" s="246"/>
      <c r="AO19" s="246"/>
      <c r="AP19" s="246"/>
      <c r="AQ19" s="246"/>
      <c r="AR19" s="246"/>
    </row>
    <row r="20" spans="1:44" ht="19.5" customHeight="1">
      <c r="A20" s="250"/>
      <c r="B20" s="99"/>
      <c r="C20" s="84"/>
      <c r="D20" s="134"/>
      <c r="E20" s="134"/>
      <c r="F20" s="134"/>
      <c r="G20" s="244"/>
      <c r="H20" s="244"/>
      <c r="I20" s="244"/>
      <c r="J20" s="244"/>
      <c r="K20" s="134"/>
      <c r="L20" s="244"/>
      <c r="M20" s="244"/>
      <c r="N20" s="244"/>
      <c r="O20" s="244"/>
      <c r="P20" s="134"/>
      <c r="Q20" s="244"/>
      <c r="R20" s="244"/>
      <c r="S20" s="244"/>
      <c r="T20" s="244"/>
      <c r="U20" s="134"/>
      <c r="V20" s="244"/>
      <c r="W20" s="127"/>
      <c r="X20" s="127"/>
      <c r="Y20" s="127"/>
      <c r="Z20" s="127"/>
      <c r="AA20" s="127"/>
      <c r="AB20" s="127"/>
      <c r="AC20" s="127"/>
      <c r="AD20" s="127"/>
      <c r="AE20" s="127"/>
      <c r="AF20" s="246"/>
      <c r="AG20" s="246"/>
      <c r="AH20" s="246"/>
      <c r="AI20" s="246"/>
      <c r="AJ20" s="247"/>
      <c r="AK20" s="247"/>
      <c r="AL20" s="247"/>
      <c r="AM20" s="247"/>
      <c r="AN20" s="246"/>
      <c r="AO20" s="246"/>
      <c r="AP20" s="246"/>
      <c r="AQ20" s="246"/>
      <c r="AR20" s="246"/>
    </row>
    <row r="21" spans="1:44" ht="18.75" customHeight="1">
      <c r="A21" s="251" t="s">
        <v>99</v>
      </c>
      <c r="B21" s="251"/>
      <c r="C21" s="251"/>
      <c r="D21" s="234">
        <f t="shared" ref="D21:V21" si="8">D23+D29</f>
        <v>97072</v>
      </c>
      <c r="E21" s="234">
        <f t="shared" si="8"/>
        <v>107633</v>
      </c>
      <c r="F21" s="234">
        <f t="shared" si="8"/>
        <v>109120</v>
      </c>
      <c r="G21" s="235">
        <f t="shared" si="8"/>
        <v>108597</v>
      </c>
      <c r="H21" s="235">
        <f t="shared" si="8"/>
        <v>115903</v>
      </c>
      <c r="I21" s="235">
        <f t="shared" si="8"/>
        <v>123509</v>
      </c>
      <c r="J21" s="235">
        <f t="shared" si="8"/>
        <v>119013</v>
      </c>
      <c r="K21" s="234">
        <f t="shared" si="8"/>
        <v>119013</v>
      </c>
      <c r="L21" s="235">
        <f t="shared" si="8"/>
        <v>114506</v>
      </c>
      <c r="M21" s="235">
        <f t="shared" si="8"/>
        <v>114017</v>
      </c>
      <c r="N21" s="235">
        <f t="shared" si="8"/>
        <v>116147</v>
      </c>
      <c r="O21" s="235">
        <f t="shared" si="8"/>
        <v>125172</v>
      </c>
      <c r="P21" s="234">
        <f t="shared" si="8"/>
        <v>125172</v>
      </c>
      <c r="Q21" s="235">
        <f t="shared" si="8"/>
        <v>130107</v>
      </c>
      <c r="R21" s="235">
        <f t="shared" si="8"/>
        <v>139137</v>
      </c>
      <c r="S21" s="235">
        <f t="shared" si="8"/>
        <v>149602</v>
      </c>
      <c r="T21" s="235">
        <f t="shared" si="8"/>
        <v>180016</v>
      </c>
      <c r="U21" s="234">
        <f t="shared" si="8"/>
        <v>180016</v>
      </c>
      <c r="V21" s="235">
        <f t="shared" si="8"/>
        <v>225173</v>
      </c>
      <c r="W21" s="236">
        <f>W23+W29</f>
        <v>220169.33842221089</v>
      </c>
      <c r="X21" s="236">
        <f>X23+X29</f>
        <v>237542.01168767241</v>
      </c>
      <c r="Y21" s="236">
        <f>Y23+Y29</f>
        <v>257682.03943015175</v>
      </c>
      <c r="Z21" s="236">
        <f>Z23+Z29</f>
        <v>257682.03943015175</v>
      </c>
      <c r="AA21" s="236">
        <f>AA23+AA29</f>
        <v>271045.88842777244</v>
      </c>
      <c r="AB21" s="236">
        <f>AB23+AB29</f>
        <v>301649.69999652565</v>
      </c>
      <c r="AC21" s="236">
        <f>AC23+AC29</f>
        <v>328604.26070652111</v>
      </c>
      <c r="AD21" s="236">
        <f>AD23+AD29</f>
        <v>354830.60868352477</v>
      </c>
      <c r="AE21" s="236">
        <f>AE23+AE29</f>
        <v>376721.2742817821</v>
      </c>
      <c r="AF21" s="237"/>
      <c r="AG21" s="237"/>
      <c r="AH21" s="237"/>
      <c r="AI21" s="237"/>
      <c r="AJ21" s="249"/>
      <c r="AK21" s="249"/>
      <c r="AL21" s="249"/>
      <c r="AM21" s="249"/>
      <c r="AN21" s="249"/>
      <c r="AO21" s="249"/>
      <c r="AP21" s="249"/>
      <c r="AQ21" s="249"/>
      <c r="AR21" s="249"/>
    </row>
    <row r="22" spans="1:44" ht="19.5" customHeight="1">
      <c r="A22" s="252"/>
      <c r="B22" s="84"/>
      <c r="C22" s="84"/>
      <c r="D22" s="85"/>
      <c r="E22" s="85"/>
      <c r="F22" s="85"/>
      <c r="G22" s="132"/>
      <c r="H22" s="132"/>
      <c r="I22" s="132"/>
      <c r="J22" s="132"/>
      <c r="K22" s="134"/>
      <c r="L22" s="135"/>
      <c r="M22" s="135"/>
      <c r="N22" s="135"/>
      <c r="O22" s="135"/>
      <c r="P22" s="134"/>
      <c r="Q22" s="135"/>
      <c r="R22" s="135"/>
      <c r="S22" s="135"/>
      <c r="T22" s="135"/>
      <c r="U22" s="134"/>
      <c r="V22" s="135"/>
      <c r="W22" s="88"/>
      <c r="X22" s="88"/>
      <c r="Y22" s="88"/>
      <c r="Z22" s="88"/>
      <c r="AA22" s="88"/>
      <c r="AB22" s="88"/>
      <c r="AC22" s="88"/>
      <c r="AD22" s="88"/>
      <c r="AE22" s="88"/>
      <c r="AJ22" s="248"/>
      <c r="AK22" s="248"/>
      <c r="AL22" s="248"/>
      <c r="AM22" s="248"/>
    </row>
    <row r="23" spans="1:44" ht="19.5" customHeight="1">
      <c r="A23" s="253" t="s">
        <v>100</v>
      </c>
      <c r="B23" s="80"/>
      <c r="C23" s="80"/>
      <c r="D23" s="241">
        <f t="shared" ref="D23:V23" si="9">D24+D25+D26+D27</f>
        <v>56834</v>
      </c>
      <c r="E23" s="241">
        <f t="shared" si="9"/>
        <v>64254</v>
      </c>
      <c r="F23" s="241">
        <f t="shared" si="9"/>
        <v>69300</v>
      </c>
      <c r="G23" s="242">
        <f t="shared" si="9"/>
        <v>68854</v>
      </c>
      <c r="H23" s="242">
        <f t="shared" si="9"/>
        <v>77709</v>
      </c>
      <c r="I23" s="242">
        <f t="shared" si="9"/>
        <v>86295</v>
      </c>
      <c r="J23" s="242">
        <f t="shared" si="9"/>
        <v>81814</v>
      </c>
      <c r="K23" s="241">
        <f t="shared" si="9"/>
        <v>81814</v>
      </c>
      <c r="L23" s="242">
        <f t="shared" si="9"/>
        <v>76997</v>
      </c>
      <c r="M23" s="242">
        <f t="shared" si="9"/>
        <v>77913</v>
      </c>
      <c r="N23" s="242">
        <f t="shared" si="9"/>
        <v>80803</v>
      </c>
      <c r="O23" s="242">
        <f t="shared" si="9"/>
        <v>89122</v>
      </c>
      <c r="P23" s="241">
        <f t="shared" si="9"/>
        <v>89122</v>
      </c>
      <c r="Q23" s="242">
        <f t="shared" si="9"/>
        <v>91654</v>
      </c>
      <c r="R23" s="242">
        <f t="shared" si="9"/>
        <v>87310</v>
      </c>
      <c r="S23" s="242">
        <f t="shared" si="9"/>
        <v>99550</v>
      </c>
      <c r="T23" s="242">
        <f t="shared" si="9"/>
        <v>102745</v>
      </c>
      <c r="U23" s="241">
        <f t="shared" si="9"/>
        <v>102745</v>
      </c>
      <c r="V23" s="242">
        <f t="shared" si="9"/>
        <v>111188</v>
      </c>
      <c r="W23" s="243">
        <f>SUM(W24:W27)</f>
        <v>102309.28842221087</v>
      </c>
      <c r="X23" s="243">
        <f>SUM(X24:X27)</f>
        <v>115613.15918767241</v>
      </c>
      <c r="Y23" s="243">
        <f>SUM(Y24:Y27)</f>
        <v>131480.94430515176</v>
      </c>
      <c r="Z23" s="243">
        <f>SUM(Z24:Z27)</f>
        <v>131480.94430515176</v>
      </c>
      <c r="AA23" s="243">
        <f>SUM(AA24:AA27)</f>
        <v>135873.08379027239</v>
      </c>
      <c r="AB23" s="243">
        <f>SUM(AB24:AB27)</f>
        <v>158581.79098802566</v>
      </c>
      <c r="AC23" s="243">
        <f>SUM(AC24:AC27)</f>
        <v>179141.31715751108</v>
      </c>
      <c r="AD23" s="243">
        <f>SUM(AD24:AD27)</f>
        <v>200848.50739255437</v>
      </c>
      <c r="AE23" s="243">
        <f>SUM(AE24:AE27)</f>
        <v>220389.21096499226</v>
      </c>
      <c r="AF23" s="237"/>
      <c r="AG23" s="237"/>
      <c r="AH23" s="237"/>
      <c r="AI23" s="237"/>
      <c r="AJ23" s="254"/>
      <c r="AK23" s="254"/>
      <c r="AL23" s="254"/>
      <c r="AM23" s="254"/>
      <c r="AN23" s="254"/>
      <c r="AO23" s="254"/>
      <c r="AP23" s="254"/>
      <c r="AQ23" s="254"/>
      <c r="AR23" s="254"/>
    </row>
    <row r="24" spans="1:44" ht="19.5" customHeight="1">
      <c r="A24" s="255" t="s">
        <v>101</v>
      </c>
      <c r="B24" s="84"/>
      <c r="C24" s="84"/>
      <c r="D24" s="134">
        <v>5589</v>
      </c>
      <c r="E24" s="134">
        <v>6037</v>
      </c>
      <c r="F24" s="134">
        <v>5128</v>
      </c>
      <c r="G24" s="244">
        <f>'Q - BS'!C23</f>
        <v>4184</v>
      </c>
      <c r="H24" s="244">
        <f>'Q - BS'!D23</f>
        <v>5313</v>
      </c>
      <c r="I24" s="244">
        <f>'Q - BS'!E23</f>
        <v>5803</v>
      </c>
      <c r="J24" s="244">
        <f>'Q - BS'!F23</f>
        <v>7493</v>
      </c>
      <c r="K24" s="134">
        <v>7493</v>
      </c>
      <c r="L24" s="244">
        <f>'Q - BS'!G23</f>
        <v>6198</v>
      </c>
      <c r="M24" s="244">
        <f>'Q - BS'!H23</f>
        <v>6092</v>
      </c>
      <c r="N24" s="244">
        <f>'Q - BS'!I23</f>
        <v>7049</v>
      </c>
      <c r="O24" s="244">
        <f>'Q - BS'!J23</f>
        <v>7987</v>
      </c>
      <c r="P24" s="134">
        <v>7987</v>
      </c>
      <c r="Q24" s="244">
        <f>'Q - BS'!K23</f>
        <v>8497</v>
      </c>
      <c r="R24" s="244">
        <f>'Q - BS'!L23</f>
        <v>8347</v>
      </c>
      <c r="S24" s="244">
        <f>'Q - BS'!M23</f>
        <v>10546</v>
      </c>
      <c r="T24" s="244">
        <f>'Q - BS'!N23</f>
        <v>12200</v>
      </c>
      <c r="U24" s="134">
        <v>12200</v>
      </c>
      <c r="V24" s="244">
        <f>'Q - BS'!O23</f>
        <v>16852</v>
      </c>
      <c r="W24" s="245">
        <f>W64</f>
        <v>9264.8646142303223</v>
      </c>
      <c r="X24" s="245">
        <f t="shared" ref="X24:AE24" si="10">X64</f>
        <v>10469.62875039119</v>
      </c>
      <c r="Y24" s="245">
        <f t="shared" si="10"/>
        <v>11906.574340653246</v>
      </c>
      <c r="Z24" s="245">
        <f t="shared" si="10"/>
        <v>11906.574340653246</v>
      </c>
      <c r="AA24" s="245">
        <f t="shared" si="10"/>
        <v>12332.107332405485</v>
      </c>
      <c r="AB24" s="245">
        <f t="shared" si="10"/>
        <v>14393.194096102767</v>
      </c>
      <c r="AC24" s="245">
        <f t="shared" si="10"/>
        <v>16259.216978286337</v>
      </c>
      <c r="AD24" s="245">
        <f t="shared" si="10"/>
        <v>18229.404099943931</v>
      </c>
      <c r="AE24" s="245">
        <f t="shared" si="10"/>
        <v>20002.956646804399</v>
      </c>
      <c r="AF24" s="246"/>
      <c r="AG24" s="246"/>
      <c r="AH24" s="246"/>
      <c r="AI24" s="246"/>
      <c r="AJ24" s="247"/>
      <c r="AK24" s="247"/>
      <c r="AL24" s="247"/>
      <c r="AM24" s="247"/>
      <c r="AN24" s="246"/>
      <c r="AO24" s="246"/>
      <c r="AP24" s="246"/>
      <c r="AQ24" s="246"/>
      <c r="AR24" s="246"/>
    </row>
    <row r="25" spans="1:44" ht="18.75" customHeight="1">
      <c r="A25" s="255" t="s">
        <v>102</v>
      </c>
      <c r="B25" s="84"/>
      <c r="C25" s="84"/>
      <c r="D25" s="134">
        <v>11086</v>
      </c>
      <c r="E25" s="134">
        <v>13889</v>
      </c>
      <c r="F25" s="134">
        <v>14028</v>
      </c>
      <c r="G25" s="244">
        <f>'Q - BS'!C24</f>
        <v>9954</v>
      </c>
      <c r="H25" s="244">
        <f>'Q - BS'!D24</f>
        <v>11260</v>
      </c>
      <c r="I25" s="244">
        <f>'Q - BS'!E24</f>
        <v>12562</v>
      </c>
      <c r="J25" s="244">
        <f>'Q - BS'!F24</f>
        <v>15140</v>
      </c>
      <c r="K25" s="134">
        <v>15140</v>
      </c>
      <c r="L25" s="244">
        <f>'Q - BS'!G24</f>
        <v>9703</v>
      </c>
      <c r="M25" s="244">
        <f>'Q - BS'!H24</f>
        <v>11373</v>
      </c>
      <c r="N25" s="244">
        <f>'Q - BS'!I24</f>
        <v>12908</v>
      </c>
      <c r="O25" s="244">
        <f>'Q - BS'!J24</f>
        <v>15069</v>
      </c>
      <c r="P25" s="134">
        <v>15069</v>
      </c>
      <c r="Q25" s="244">
        <f>'Q - BS'!K24</f>
        <v>9984</v>
      </c>
      <c r="R25" s="244">
        <f>'Q - BS'!L24</f>
        <v>12168</v>
      </c>
      <c r="S25" s="244">
        <f>'Q - BS'!M24</f>
        <v>13944</v>
      </c>
      <c r="T25" s="244">
        <f>'Q - BS'!N24</f>
        <v>17546</v>
      </c>
      <c r="U25" s="134">
        <v>17546</v>
      </c>
      <c r="V25" s="244">
        <f>'Q - BS'!O24</f>
        <v>13947</v>
      </c>
      <c r="W25" s="245">
        <f>W58</f>
        <v>15832.394835384028</v>
      </c>
      <c r="X25" s="245">
        <f t="shared" ref="X25:AE25" si="11">X58</f>
        <v>17891.173056267267</v>
      </c>
      <c r="Y25" s="245">
        <f t="shared" si="11"/>
        <v>20346.717836387386</v>
      </c>
      <c r="Z25" s="245">
        <f t="shared" si="11"/>
        <v>20346.717836387386</v>
      </c>
      <c r="AA25" s="245">
        <f t="shared" si="11"/>
        <v>20766.99450670537</v>
      </c>
      <c r="AB25" s="245">
        <f t="shared" si="11"/>
        <v>24237.818782380535</v>
      </c>
      <c r="AC25" s="245">
        <f t="shared" si="11"/>
        <v>27380.159819411863</v>
      </c>
      <c r="AD25" s="245">
        <f t="shared" si="11"/>
        <v>30697.911119315944</v>
      </c>
      <c r="AE25" s="245">
        <f t="shared" si="11"/>
        <v>33684.534168015962</v>
      </c>
      <c r="AF25" s="246"/>
      <c r="AG25" s="246"/>
      <c r="AH25" s="246"/>
      <c r="AI25" s="246"/>
      <c r="AJ25" s="247"/>
      <c r="AK25" s="247"/>
      <c r="AL25" s="247"/>
      <c r="AM25" s="247"/>
      <c r="AN25" s="246"/>
      <c r="AO25" s="246"/>
      <c r="AP25" s="246"/>
      <c r="AQ25" s="246"/>
      <c r="AR25" s="246"/>
    </row>
    <row r="26" spans="1:44" ht="15.75" customHeight="1">
      <c r="A26" s="255" t="s">
        <v>103</v>
      </c>
      <c r="C26" s="150"/>
      <c r="D26" s="134">
        <v>7500</v>
      </c>
      <c r="E26" s="134">
        <v>8996</v>
      </c>
      <c r="F26" s="134">
        <v>8370</v>
      </c>
      <c r="G26" s="244">
        <f>'Q - BS'!C25</f>
        <v>7816</v>
      </c>
      <c r="H26" s="244">
        <f>'Q - BS'!D25</f>
        <v>7990</v>
      </c>
      <c r="I26" s="244">
        <f>'Q - BS'!E25</f>
        <v>8025</v>
      </c>
      <c r="J26" s="244">
        <f>'Q - BS'!F25</f>
        <v>8876</v>
      </c>
      <c r="K26" s="134">
        <v>8876</v>
      </c>
      <c r="L26" s="244">
        <f>'Q - BS'!G25</f>
        <v>8520</v>
      </c>
      <c r="M26" s="244">
        <f>'Q - BS'!H25</f>
        <v>8899</v>
      </c>
      <c r="N26" s="244">
        <f>'Q - BS'!I25</f>
        <v>9365</v>
      </c>
      <c r="O26" s="244">
        <f>'Q - BS'!J25</f>
        <v>9802</v>
      </c>
      <c r="P26" s="134">
        <v>9802</v>
      </c>
      <c r="Q26" s="244">
        <f>'Q - BS'!K25</f>
        <v>9965</v>
      </c>
      <c r="R26" s="244">
        <f>'Q - BS'!L25</f>
        <v>9787</v>
      </c>
      <c r="S26" s="244">
        <f>'Q - BS'!M25</f>
        <v>10081</v>
      </c>
      <c r="T26" s="244">
        <f>'Q - BS'!N25</f>
        <v>10864</v>
      </c>
      <c r="U26" s="134">
        <v>10864</v>
      </c>
      <c r="V26" s="244">
        <f>'Q - BS'!O25</f>
        <v>10208</v>
      </c>
      <c r="W26" s="245">
        <f>W61</f>
        <v>10951.218015851491</v>
      </c>
      <c r="X26" s="245">
        <f t="shared" ref="X26:AE26" si="12">X61</f>
        <v>12375.268475532463</v>
      </c>
      <c r="Y26" s="245">
        <f t="shared" si="12"/>
        <v>14073.761123952394</v>
      </c>
      <c r="Z26" s="245">
        <f t="shared" si="12"/>
        <v>14073.761123952394</v>
      </c>
      <c r="AA26" s="245">
        <f t="shared" si="12"/>
        <v>14576.747919729058</v>
      </c>
      <c r="AB26" s="245">
        <f t="shared" si="12"/>
        <v>17012.9854082042</v>
      </c>
      <c r="AC26" s="245">
        <f t="shared" si="12"/>
        <v>19218.654271834705</v>
      </c>
      <c r="AD26" s="245">
        <f t="shared" si="12"/>
        <v>21547.446930947692</v>
      </c>
      <c r="AE26" s="245">
        <f t="shared" si="12"/>
        <v>23643.814380657172</v>
      </c>
      <c r="AF26" s="246"/>
      <c r="AG26" s="246"/>
      <c r="AH26" s="246"/>
      <c r="AI26" s="246"/>
      <c r="AJ26" s="247"/>
      <c r="AK26" s="247"/>
      <c r="AL26" s="247"/>
      <c r="AM26" s="247"/>
      <c r="AN26" s="246"/>
      <c r="AO26" s="246"/>
      <c r="AP26" s="246"/>
      <c r="AQ26" s="246"/>
      <c r="AR26" s="246"/>
    </row>
    <row r="27" spans="1:44" ht="18.75" customHeight="1">
      <c r="A27" s="255" t="s">
        <v>104</v>
      </c>
      <c r="B27" s="152"/>
      <c r="C27" s="152"/>
      <c r="D27" s="134">
        <v>32659</v>
      </c>
      <c r="E27" s="134">
        <v>35332</v>
      </c>
      <c r="F27" s="134">
        <v>41774</v>
      </c>
      <c r="G27" s="244">
        <f>'Q - BS'!C26</f>
        <v>46900</v>
      </c>
      <c r="H27" s="244">
        <f>'Q - BS'!D26</f>
        <v>53146</v>
      </c>
      <c r="I27" s="244">
        <f>'Q - BS'!E26</f>
        <v>59905</v>
      </c>
      <c r="J27" s="244">
        <f>'Q - BS'!F26</f>
        <v>50305</v>
      </c>
      <c r="K27" s="134">
        <v>50305</v>
      </c>
      <c r="L27" s="244">
        <f>'Q - BS'!G26</f>
        <v>52576</v>
      </c>
      <c r="M27" s="244">
        <f>'Q - BS'!H26</f>
        <v>51549</v>
      </c>
      <c r="N27" s="244">
        <f>'Q - BS'!I26</f>
        <v>51481</v>
      </c>
      <c r="O27" s="244">
        <f>'Q - BS'!J26</f>
        <v>56264</v>
      </c>
      <c r="P27" s="134">
        <v>56264</v>
      </c>
      <c r="Q27" s="244">
        <f>'Q - BS'!K26</f>
        <v>63208</v>
      </c>
      <c r="R27" s="244">
        <f>'Q - BS'!L26</f>
        <v>57008</v>
      </c>
      <c r="S27" s="244">
        <f>'Q - BS'!M26</f>
        <v>64979</v>
      </c>
      <c r="T27" s="244">
        <f>'Q - BS'!N26</f>
        <v>62135</v>
      </c>
      <c r="U27" s="134">
        <v>62135</v>
      </c>
      <c r="V27" s="244">
        <f>'Q - BS'!O26</f>
        <v>70181</v>
      </c>
      <c r="W27" s="245">
        <f>W67</f>
        <v>66260.81095674503</v>
      </c>
      <c r="X27" s="245">
        <f t="shared" ref="X27:AE27" si="13">X67</f>
        <v>74877.088905481491</v>
      </c>
      <c r="Y27" s="245">
        <f t="shared" si="13"/>
        <v>85153.891004158722</v>
      </c>
      <c r="Z27" s="245">
        <f t="shared" si="13"/>
        <v>85153.891004158722</v>
      </c>
      <c r="AA27" s="245">
        <f t="shared" si="13"/>
        <v>88197.234031432468</v>
      </c>
      <c r="AB27" s="245">
        <f t="shared" si="13"/>
        <v>102937.79270133816</v>
      </c>
      <c r="AC27" s="245">
        <f t="shared" si="13"/>
        <v>116283.28608797818</v>
      </c>
      <c r="AD27" s="245">
        <f t="shared" si="13"/>
        <v>130373.74524234681</v>
      </c>
      <c r="AE27" s="245">
        <f t="shared" si="13"/>
        <v>143057.90576951473</v>
      </c>
      <c r="AF27" s="246"/>
      <c r="AG27" s="246"/>
      <c r="AH27" s="246"/>
      <c r="AI27" s="246"/>
      <c r="AJ27" s="247"/>
      <c r="AK27" s="247"/>
      <c r="AL27" s="247"/>
      <c r="AM27" s="247"/>
      <c r="AN27" s="246"/>
      <c r="AO27" s="246"/>
      <c r="AP27" s="246"/>
      <c r="AQ27" s="246"/>
      <c r="AR27" s="246"/>
    </row>
    <row r="28" spans="1:44" ht="15.75" customHeight="1">
      <c r="A28" s="255"/>
      <c r="D28" s="256"/>
      <c r="E28" s="256"/>
      <c r="F28" s="256"/>
      <c r="K28" s="256"/>
      <c r="P28" s="134"/>
      <c r="Q28" s="135"/>
      <c r="R28" s="135"/>
      <c r="S28" s="135"/>
      <c r="T28" s="135"/>
      <c r="U28" s="134"/>
      <c r="V28" s="135"/>
      <c r="AE28" s="188"/>
      <c r="AJ28" s="248"/>
      <c r="AK28" s="248"/>
      <c r="AL28" s="248"/>
      <c r="AM28" s="248"/>
    </row>
    <row r="29" spans="1:44" ht="15" customHeight="1">
      <c r="A29" s="257" t="s">
        <v>105</v>
      </c>
      <c r="B29" s="258"/>
      <c r="C29" s="258"/>
      <c r="D29" s="241">
        <f t="shared" ref="D29:V29" si="14">D30+D31+D32+D33</f>
        <v>40238</v>
      </c>
      <c r="E29" s="241">
        <f t="shared" si="14"/>
        <v>43379</v>
      </c>
      <c r="F29" s="241">
        <f t="shared" si="14"/>
        <v>39820</v>
      </c>
      <c r="G29" s="242">
        <f t="shared" si="14"/>
        <v>39743</v>
      </c>
      <c r="H29" s="242">
        <f t="shared" si="14"/>
        <v>38194</v>
      </c>
      <c r="I29" s="242">
        <f t="shared" si="14"/>
        <v>37214</v>
      </c>
      <c r="J29" s="242">
        <f t="shared" si="14"/>
        <v>37199</v>
      </c>
      <c r="K29" s="241">
        <f t="shared" si="14"/>
        <v>37199</v>
      </c>
      <c r="L29" s="242">
        <f t="shared" si="14"/>
        <v>37509</v>
      </c>
      <c r="M29" s="242">
        <f t="shared" si="14"/>
        <v>36104</v>
      </c>
      <c r="N29" s="242">
        <f t="shared" si="14"/>
        <v>35344</v>
      </c>
      <c r="O29" s="242">
        <f t="shared" si="14"/>
        <v>36050</v>
      </c>
      <c r="P29" s="241">
        <f t="shared" si="14"/>
        <v>36050</v>
      </c>
      <c r="Q29" s="242">
        <f t="shared" si="14"/>
        <v>38453</v>
      </c>
      <c r="R29" s="242">
        <f t="shared" si="14"/>
        <v>51827</v>
      </c>
      <c r="S29" s="242">
        <f t="shared" si="14"/>
        <v>50052</v>
      </c>
      <c r="T29" s="242">
        <f t="shared" si="14"/>
        <v>77271</v>
      </c>
      <c r="U29" s="241">
        <f t="shared" si="14"/>
        <v>77271</v>
      </c>
      <c r="V29" s="242">
        <f t="shared" si="14"/>
        <v>113985</v>
      </c>
      <c r="W29" s="243">
        <f>SUM(W30:W33)</f>
        <v>117860.05</v>
      </c>
      <c r="X29" s="243">
        <f>SUM(X30:X33)</f>
        <v>121928.85250000001</v>
      </c>
      <c r="Y29" s="243">
        <f>SUM(Y30:Y33)</f>
        <v>126201.09512500001</v>
      </c>
      <c r="Z29" s="243">
        <f>SUM(Z30:Z33)</f>
        <v>126201.09512500001</v>
      </c>
      <c r="AA29" s="243">
        <f>SUM(AA30:AA33)</f>
        <v>135172.80463750003</v>
      </c>
      <c r="AB29" s="243">
        <f>SUM(AB30:AB33)</f>
        <v>143067.90900850002</v>
      </c>
      <c r="AC29" s="243">
        <f>SUM(AC30:AC33)</f>
        <v>149462.94354901003</v>
      </c>
      <c r="AD29" s="243">
        <f>SUM(AD30:AD33)</f>
        <v>153982.10129097043</v>
      </c>
      <c r="AE29" s="243">
        <f>SUM(AE30:AE33)</f>
        <v>156332.06331678983</v>
      </c>
      <c r="AF29" s="237"/>
      <c r="AG29" s="237"/>
      <c r="AH29" s="237"/>
      <c r="AI29" s="237"/>
      <c r="AJ29" s="249"/>
      <c r="AK29" s="249"/>
      <c r="AL29" s="249"/>
      <c r="AM29" s="249"/>
      <c r="AN29" s="249"/>
      <c r="AO29" s="249"/>
      <c r="AP29" s="249"/>
      <c r="AQ29" s="249"/>
      <c r="AR29" s="249"/>
    </row>
    <row r="30" spans="1:44" ht="15.75" customHeight="1">
      <c r="A30" s="255" t="s">
        <v>106</v>
      </c>
      <c r="D30" s="134">
        <v>13932</v>
      </c>
      <c r="E30" s="134">
        <v>14817</v>
      </c>
      <c r="F30" s="134">
        <v>14701</v>
      </c>
      <c r="G30" s="244">
        <f>'Q - BS'!C29</f>
        <v>13697</v>
      </c>
      <c r="H30" s="244">
        <f>'Q - BS'!D29</f>
        <v>13705</v>
      </c>
      <c r="I30" s="244">
        <f>'Q - BS'!E29</f>
        <v>13781</v>
      </c>
      <c r="J30" s="244">
        <f>'Q - BS'!F29</f>
        <v>13253</v>
      </c>
      <c r="K30" s="134">
        <v>13253</v>
      </c>
      <c r="L30" s="244">
        <f>'Q - BS'!G29</f>
        <v>13228</v>
      </c>
      <c r="M30" s="244">
        <f>'Q - BS'!H29</f>
        <v>13238</v>
      </c>
      <c r="N30" s="244">
        <f>'Q - BS'!I29</f>
        <v>12297</v>
      </c>
      <c r="O30" s="244">
        <f>'Q - BS'!J29</f>
        <v>10883</v>
      </c>
      <c r="P30" s="134">
        <v>10883</v>
      </c>
      <c r="Q30" s="244">
        <f>'Q - BS'!K29</f>
        <v>10886</v>
      </c>
      <c r="R30" s="244">
        <f>'Q - BS'!L29</f>
        <v>23607</v>
      </c>
      <c r="S30" s="244">
        <f>'Q - BS'!M29</f>
        <v>21607</v>
      </c>
      <c r="T30" s="244">
        <f>'Q - BS'!N29</f>
        <v>46547</v>
      </c>
      <c r="U30" s="134">
        <v>46547</v>
      </c>
      <c r="V30" s="244">
        <f>'Q - BS'!O29</f>
        <v>77501</v>
      </c>
      <c r="W30" s="127">
        <f>'Debt Schedule'!W12</f>
        <v>81376.05</v>
      </c>
      <c r="X30" s="127">
        <f>'Debt Schedule'!X12</f>
        <v>85444.852500000008</v>
      </c>
      <c r="Y30" s="127">
        <f>'Debt Schedule'!Y12</f>
        <v>89717.095125000007</v>
      </c>
      <c r="Z30" s="127">
        <f>'Debt Schedule'!Z12</f>
        <v>89717.095125000007</v>
      </c>
      <c r="AA30" s="127">
        <f>'Debt Schedule'!AA12</f>
        <v>98688.804637500012</v>
      </c>
      <c r="AB30" s="127">
        <f>'Debt Schedule'!AB12</f>
        <v>106583.90900850002</v>
      </c>
      <c r="AC30" s="127">
        <f>'Debt Schedule'!AC12</f>
        <v>112978.94354901003</v>
      </c>
      <c r="AD30" s="127">
        <f>'Debt Schedule'!AD12</f>
        <v>117498.10129097043</v>
      </c>
      <c r="AE30" s="127">
        <f>'Debt Schedule'!AE12</f>
        <v>119848.06331678983</v>
      </c>
      <c r="AF30" s="246"/>
      <c r="AG30" s="246"/>
      <c r="AH30" s="246"/>
      <c r="AI30" s="246"/>
      <c r="AJ30" s="247"/>
      <c r="AK30" s="247"/>
      <c r="AL30" s="247"/>
      <c r="AM30" s="247"/>
      <c r="AN30" s="246"/>
      <c r="AO30" s="246"/>
      <c r="AP30" s="246"/>
      <c r="AQ30" s="246"/>
      <c r="AR30" s="246"/>
    </row>
    <row r="31" spans="1:44" ht="15.75" customHeight="1">
      <c r="A31" s="255" t="s">
        <v>107</v>
      </c>
      <c r="D31" s="134">
        <v>11146</v>
      </c>
      <c r="E31" s="134">
        <v>11389</v>
      </c>
      <c r="F31" s="134">
        <v>12501</v>
      </c>
      <c r="G31" s="244">
        <f>'Q - BS'!C30</f>
        <v>12799</v>
      </c>
      <c r="H31" s="244">
        <f>'Q - BS'!D30</f>
        <v>12746</v>
      </c>
      <c r="I31" s="244">
        <f>'Q - BS'!E30</f>
        <v>12550</v>
      </c>
      <c r="J31" s="244">
        <f>'Q - BS'!F30</f>
        <v>12460</v>
      </c>
      <c r="K31" s="134">
        <v>12460</v>
      </c>
      <c r="L31" s="244">
        <f>'Q - BS'!G30</f>
        <v>11957</v>
      </c>
      <c r="M31" s="244">
        <f>'Q - BS'!H30</f>
        <v>11708</v>
      </c>
      <c r="N31" s="244">
        <f>'Q - BS'!I30</f>
        <v>11654</v>
      </c>
      <c r="O31" s="244">
        <f>'Q - BS'!J30</f>
        <v>11691</v>
      </c>
      <c r="P31" s="134">
        <v>11691</v>
      </c>
      <c r="Q31" s="244">
        <f>'Q - BS'!K30</f>
        <v>11678</v>
      </c>
      <c r="R31" s="244">
        <f>'Q - BS'!L30</f>
        <v>11952</v>
      </c>
      <c r="S31" s="244">
        <f>'Q - BS'!M30</f>
        <v>12106</v>
      </c>
      <c r="T31" s="244">
        <f>'Q - BS'!N30</f>
        <v>12744</v>
      </c>
      <c r="U31" s="134">
        <v>12744</v>
      </c>
      <c r="V31" s="244">
        <f>'Q - BS'!O30</f>
        <v>12983</v>
      </c>
      <c r="W31" s="127">
        <f>'Debt Schedule'!W23</f>
        <v>12983</v>
      </c>
      <c r="X31" s="127">
        <f>'Debt Schedule'!X23</f>
        <v>12983</v>
      </c>
      <c r="Y31" s="127">
        <f>'Debt Schedule'!Y23</f>
        <v>12983</v>
      </c>
      <c r="Z31" s="127">
        <f>'Debt Schedule'!Z23</f>
        <v>12983</v>
      </c>
      <c r="AA31" s="127">
        <f>'Debt Schedule'!AA23</f>
        <v>12983</v>
      </c>
      <c r="AB31" s="127">
        <f>'Debt Schedule'!AB23</f>
        <v>12983</v>
      </c>
      <c r="AC31" s="127">
        <f>'Debt Schedule'!AC23</f>
        <v>12983</v>
      </c>
      <c r="AD31" s="127">
        <f>'Debt Schedule'!AD23</f>
        <v>12983</v>
      </c>
      <c r="AE31" s="127">
        <f>'Debt Schedule'!AE23</f>
        <v>12983</v>
      </c>
      <c r="AF31" s="246"/>
      <c r="AG31" s="246"/>
      <c r="AH31" s="246"/>
      <c r="AI31" s="246"/>
      <c r="AJ31" s="247"/>
      <c r="AK31" s="247"/>
      <c r="AL31" s="247"/>
      <c r="AM31" s="247"/>
      <c r="AN31" s="246"/>
      <c r="AO31" s="246"/>
      <c r="AP31" s="246"/>
      <c r="AQ31" s="246"/>
      <c r="AR31" s="246"/>
    </row>
    <row r="32" spans="1:44" ht="15.75" customHeight="1">
      <c r="A32" s="255" t="s">
        <v>76</v>
      </c>
      <c r="D32" s="134">
        <v>8849</v>
      </c>
      <c r="E32" s="134">
        <v>9176</v>
      </c>
      <c r="F32" s="134">
        <v>9258</v>
      </c>
      <c r="G32" s="244">
        <f>'Q - BS'!C31</f>
        <v>9722</v>
      </c>
      <c r="H32" s="244">
        <f>'Q - BS'!D31</f>
        <v>8753</v>
      </c>
      <c r="I32" s="244">
        <f>'Q - BS'!E31</f>
        <v>8038</v>
      </c>
      <c r="J32" s="244">
        <f>'Q - BS'!F31</f>
        <v>8474</v>
      </c>
      <c r="K32" s="134">
        <v>8474</v>
      </c>
      <c r="L32" s="244">
        <f>'Q - BS'!G31</f>
        <v>9234</v>
      </c>
      <c r="M32" s="244">
        <f>'Q - BS'!H31</f>
        <v>7703</v>
      </c>
      <c r="N32" s="244">
        <f>'Q - BS'!I31</f>
        <v>8219</v>
      </c>
      <c r="O32" s="244">
        <f>'Q - BS'!J31</f>
        <v>8782</v>
      </c>
      <c r="P32" s="134">
        <v>8782</v>
      </c>
      <c r="Q32" s="244">
        <f>'Q - BS'!K31</f>
        <v>9773</v>
      </c>
      <c r="R32" s="244">
        <f>'Q - BS'!L31</f>
        <v>10027</v>
      </c>
      <c r="S32" s="244">
        <f>'Q - BS'!M31</f>
        <v>10072</v>
      </c>
      <c r="T32" s="244">
        <f>'Q - BS'!N31</f>
        <v>9531</v>
      </c>
      <c r="U32" s="134">
        <v>9531</v>
      </c>
      <c r="V32" s="244">
        <f>'Q - BS'!O31</f>
        <v>12457</v>
      </c>
      <c r="W32" s="127">
        <f>V32</f>
        <v>12457</v>
      </c>
      <c r="X32" s="127">
        <f>W32</f>
        <v>12457</v>
      </c>
      <c r="Y32" s="127">
        <f>X32</f>
        <v>12457</v>
      </c>
      <c r="Z32" s="127">
        <f>Y32</f>
        <v>12457</v>
      </c>
      <c r="AA32" s="127">
        <f>Z32</f>
        <v>12457</v>
      </c>
      <c r="AB32" s="127">
        <f>AA32</f>
        <v>12457</v>
      </c>
      <c r="AC32" s="127">
        <f>AB32</f>
        <v>12457</v>
      </c>
      <c r="AD32" s="127">
        <f>AC32</f>
        <v>12457</v>
      </c>
      <c r="AE32" s="127">
        <f>AD32</f>
        <v>12457</v>
      </c>
      <c r="AF32" s="246"/>
      <c r="AG32" s="246"/>
      <c r="AH32" s="246"/>
      <c r="AI32" s="246"/>
      <c r="AJ32" s="247"/>
      <c r="AK32" s="247"/>
      <c r="AL32" s="247"/>
      <c r="AM32" s="247"/>
      <c r="AN32" s="246"/>
      <c r="AO32" s="246"/>
      <c r="AP32" s="246"/>
      <c r="AQ32" s="246"/>
      <c r="AR32" s="246"/>
    </row>
    <row r="33" spans="1:44" ht="15.75" customHeight="1">
      <c r="A33" s="255" t="s">
        <v>108</v>
      </c>
      <c r="D33" s="134">
        <v>6311</v>
      </c>
      <c r="E33" s="134">
        <v>7997</v>
      </c>
      <c r="F33" s="134">
        <v>3360</v>
      </c>
      <c r="G33" s="244">
        <f>'Q - BS'!C32</f>
        <v>3525</v>
      </c>
      <c r="H33" s="244">
        <f>'Q - BS'!D32</f>
        <v>2990</v>
      </c>
      <c r="I33" s="244">
        <f>'Q - BS'!E32</f>
        <v>2845</v>
      </c>
      <c r="J33" s="244">
        <f>'Q - BS'!F32</f>
        <v>3012</v>
      </c>
      <c r="K33" s="134">
        <v>3012</v>
      </c>
      <c r="L33" s="244">
        <f>'Q - BS'!G32</f>
        <v>3090</v>
      </c>
      <c r="M33" s="244">
        <f>'Q - BS'!H32</f>
        <v>3455</v>
      </c>
      <c r="N33" s="244">
        <f>'Q - BS'!I32</f>
        <v>3174</v>
      </c>
      <c r="O33" s="244">
        <f>'Q - BS'!J32</f>
        <v>4694</v>
      </c>
      <c r="P33" s="134">
        <v>4694</v>
      </c>
      <c r="Q33" s="244">
        <f>'Q - BS'!K32</f>
        <v>6116</v>
      </c>
      <c r="R33" s="244">
        <f>'Q - BS'!L32</f>
        <v>6241</v>
      </c>
      <c r="S33" s="244">
        <f>'Q - BS'!M32</f>
        <v>6267</v>
      </c>
      <c r="T33" s="244">
        <f>'Q - BS'!N32</f>
        <v>8449</v>
      </c>
      <c r="U33" s="134">
        <v>8449</v>
      </c>
      <c r="V33" s="244">
        <f>'Q - BS'!O32</f>
        <v>11044</v>
      </c>
      <c r="W33" s="127">
        <f>V33</f>
        <v>11044</v>
      </c>
      <c r="X33" s="127">
        <f>W33</f>
        <v>11044</v>
      </c>
      <c r="Y33" s="127">
        <f>X33</f>
        <v>11044</v>
      </c>
      <c r="Z33" s="127">
        <f>Y33</f>
        <v>11044</v>
      </c>
      <c r="AA33" s="127">
        <f>Z33</f>
        <v>11044</v>
      </c>
      <c r="AB33" s="127">
        <f>AA33</f>
        <v>11044</v>
      </c>
      <c r="AC33" s="127">
        <f>AB33</f>
        <v>11044</v>
      </c>
      <c r="AD33" s="127">
        <f>AC33</f>
        <v>11044</v>
      </c>
      <c r="AE33" s="127">
        <f>AD33</f>
        <v>11044</v>
      </c>
      <c r="AF33" s="246"/>
      <c r="AG33" s="246"/>
      <c r="AH33" s="246"/>
      <c r="AI33" s="246"/>
      <c r="AJ33" s="247"/>
      <c r="AK33" s="247"/>
      <c r="AL33" s="247"/>
      <c r="AM33" s="247"/>
      <c r="AN33" s="246"/>
      <c r="AO33" s="246"/>
      <c r="AP33" s="246"/>
      <c r="AQ33" s="246"/>
      <c r="AR33" s="246"/>
    </row>
    <row r="34" spans="1:44" ht="15.75" customHeight="1">
      <c r="A34" s="255"/>
      <c r="D34" s="256"/>
      <c r="E34" s="256"/>
      <c r="F34" s="256"/>
      <c r="K34" s="256"/>
      <c r="P34" s="134"/>
      <c r="Q34" s="135"/>
      <c r="R34" s="135"/>
      <c r="S34" s="135"/>
      <c r="T34" s="135"/>
      <c r="U34" s="134"/>
      <c r="V34" s="135"/>
      <c r="AE34" s="188"/>
      <c r="AJ34" s="248"/>
      <c r="AK34" s="248"/>
      <c r="AL34" s="248"/>
      <c r="AM34" s="248"/>
    </row>
    <row r="35" spans="1:44" ht="16.5" customHeight="1">
      <c r="A35" s="259" t="s">
        <v>109</v>
      </c>
      <c r="B35" s="190"/>
      <c r="C35" s="190"/>
      <c r="D35" s="241">
        <f t="shared" ref="D35:V35" si="15">D36+D37</f>
        <v>222544</v>
      </c>
      <c r="E35" s="241">
        <f t="shared" si="15"/>
        <v>251635</v>
      </c>
      <c r="F35" s="241">
        <f t="shared" si="15"/>
        <v>256144</v>
      </c>
      <c r="G35" s="242">
        <f t="shared" si="15"/>
        <v>260894</v>
      </c>
      <c r="H35" s="242">
        <f t="shared" si="15"/>
        <v>267141</v>
      </c>
      <c r="I35" s="242">
        <f t="shared" si="15"/>
        <v>273202</v>
      </c>
      <c r="J35" s="242">
        <f t="shared" si="15"/>
        <v>283379</v>
      </c>
      <c r="K35" s="241">
        <f t="shared" si="15"/>
        <v>283379</v>
      </c>
      <c r="L35" s="242">
        <f t="shared" si="15"/>
        <v>292844</v>
      </c>
      <c r="M35" s="242">
        <f t="shared" si="15"/>
        <v>300753</v>
      </c>
      <c r="N35" s="242">
        <f t="shared" si="15"/>
        <v>314119</v>
      </c>
      <c r="O35" s="242">
        <f t="shared" si="15"/>
        <v>325084</v>
      </c>
      <c r="P35" s="241">
        <f t="shared" si="15"/>
        <v>325084</v>
      </c>
      <c r="Q35" s="242">
        <f t="shared" si="15"/>
        <v>345267</v>
      </c>
      <c r="R35" s="242">
        <f t="shared" si="15"/>
        <v>362916</v>
      </c>
      <c r="S35" s="242">
        <f t="shared" si="15"/>
        <v>386867</v>
      </c>
      <c r="T35" s="242">
        <f t="shared" si="15"/>
        <v>415265</v>
      </c>
      <c r="U35" s="241">
        <f t="shared" si="15"/>
        <v>415265</v>
      </c>
      <c r="V35" s="242">
        <f t="shared" si="15"/>
        <v>478746</v>
      </c>
      <c r="W35" s="243">
        <f ca="1">SUM(W36:W38)</f>
        <v>594780.7625349419</v>
      </c>
      <c r="X35" s="243">
        <f ca="1">SUM(X36:X38)</f>
        <v>629049.17869167787</v>
      </c>
      <c r="Y35" s="243">
        <f ca="1">SUM(Y36:Y38)</f>
        <v>670663.13898827066</v>
      </c>
      <c r="Z35" s="243">
        <f ca="1">SUM(Z36:Z38)</f>
        <v>670663.13898827066</v>
      </c>
      <c r="AA35" s="243">
        <f ca="1">SUM(AA36:AA38)</f>
        <v>816385.57144290977</v>
      </c>
      <c r="AB35" s="243">
        <f ca="1">SUM(AB36:AB38)</f>
        <v>979042.57064015896</v>
      </c>
      <c r="AC35" s="243">
        <f ca="1">SUM(AC36:AC38)</f>
        <v>1146792.0606006763</v>
      </c>
      <c r="AD35" s="243">
        <f ca="1">SUM(AD36:AD38)</f>
        <v>1317162.0723517572</v>
      </c>
      <c r="AE35" s="243">
        <f ca="1">SUM(AE36:AE38)</f>
        <v>1461100.573374839</v>
      </c>
      <c r="AF35" s="237"/>
      <c r="AG35" s="237"/>
      <c r="AH35" s="237"/>
      <c r="AI35" s="237"/>
      <c r="AJ35" s="237"/>
      <c r="AK35" s="237"/>
      <c r="AL35" s="237"/>
      <c r="AM35" s="237"/>
      <c r="AN35" s="237"/>
      <c r="AO35" s="237"/>
      <c r="AP35" s="237"/>
      <c r="AQ35" s="237"/>
      <c r="AR35" s="237"/>
    </row>
    <row r="36" spans="1:44" ht="15.75" customHeight="1">
      <c r="A36" s="255" t="s">
        <v>110</v>
      </c>
      <c r="D36" s="134">
        <v>58510</v>
      </c>
      <c r="E36" s="134">
        <v>61774</v>
      </c>
      <c r="F36" s="134">
        <v>68184</v>
      </c>
      <c r="G36" s="244">
        <f>'Q - BS'!C35</f>
        <v>70269</v>
      </c>
      <c r="H36" s="244">
        <f>'Q - BS'!D35</f>
        <v>72248</v>
      </c>
      <c r="I36" s="244">
        <f>'Q - BS'!E35</f>
        <v>74591</v>
      </c>
      <c r="J36" s="244">
        <f>'Q - BS'!F35</f>
        <v>76534</v>
      </c>
      <c r="K36" s="134">
        <v>76534</v>
      </c>
      <c r="L36" s="244">
        <f>'Q - BS'!G35</f>
        <v>77913</v>
      </c>
      <c r="M36" s="244">
        <f>'Q - BS'!H35</f>
        <v>79732</v>
      </c>
      <c r="N36" s="244">
        <f>'Q - BS'!I35</f>
        <v>82030</v>
      </c>
      <c r="O36" s="244">
        <f>'Q - BS'!J35</f>
        <v>84800</v>
      </c>
      <c r="P36" s="134">
        <v>84800</v>
      </c>
      <c r="Q36" s="244">
        <f>'Q - BS'!K35</f>
        <v>86725</v>
      </c>
      <c r="R36" s="244">
        <f>'Q - BS'!L35</f>
        <v>89283</v>
      </c>
      <c r="S36" s="244">
        <f>'Q - BS'!M35</f>
        <v>91695</v>
      </c>
      <c r="T36" s="244">
        <f>'Q - BS'!N35</f>
        <v>93126</v>
      </c>
      <c r="U36" s="134">
        <v>93126</v>
      </c>
      <c r="V36" s="244">
        <f>'Q - BS'!O35</f>
        <v>96902</v>
      </c>
      <c r="W36" s="127">
        <f>V36+84750</f>
        <v>181652</v>
      </c>
      <c r="X36" s="127">
        <f>W36</f>
        <v>181652</v>
      </c>
      <c r="Y36" s="127">
        <f>X36</f>
        <v>181652</v>
      </c>
      <c r="Z36" s="127">
        <f>Y36</f>
        <v>181652</v>
      </c>
      <c r="AA36" s="127">
        <f>Z36</f>
        <v>181652</v>
      </c>
      <c r="AB36" s="127">
        <f>AA36</f>
        <v>181652</v>
      </c>
      <c r="AC36" s="127">
        <f>AB36</f>
        <v>181652</v>
      </c>
      <c r="AD36" s="127">
        <f>AC36</f>
        <v>181652</v>
      </c>
      <c r="AE36" s="127">
        <f>AD36</f>
        <v>181652</v>
      </c>
      <c r="AF36" s="246"/>
      <c r="AG36" s="246"/>
      <c r="AH36" s="246"/>
      <c r="AI36" s="246"/>
      <c r="AJ36" s="247"/>
      <c r="AK36" s="247"/>
      <c r="AL36" s="247"/>
      <c r="AM36" s="247"/>
      <c r="AN36" s="246"/>
      <c r="AO36" s="246"/>
      <c r="AP36" s="246"/>
      <c r="AQ36" s="246"/>
      <c r="AR36" s="246"/>
    </row>
    <row r="37" spans="1:44" ht="15.75" customHeight="1">
      <c r="A37" s="255" t="s">
        <v>111</v>
      </c>
      <c r="D37" s="134">
        <v>164034</v>
      </c>
      <c r="E37" s="134">
        <v>189861</v>
      </c>
      <c r="F37" s="134">
        <v>187960</v>
      </c>
      <c r="G37" s="244">
        <f>'Q - BS'!C36</f>
        <v>190625</v>
      </c>
      <c r="H37" s="244">
        <f>'Q - BS'!D36</f>
        <v>194893</v>
      </c>
      <c r="I37" s="244">
        <f>'Q - BS'!E36</f>
        <v>198611</v>
      </c>
      <c r="J37" s="244">
        <f>'Q - BS'!F36</f>
        <v>206845</v>
      </c>
      <c r="K37" s="134">
        <v>206845</v>
      </c>
      <c r="L37" s="244">
        <f>'Q - BS'!G36</f>
        <v>214931</v>
      </c>
      <c r="M37" s="244">
        <f>'Q - BS'!H36</f>
        <v>221021</v>
      </c>
      <c r="N37" s="244">
        <f>'Q - BS'!I36</f>
        <v>232089</v>
      </c>
      <c r="O37" s="244">
        <f>'Q - BS'!J36</f>
        <v>240284</v>
      </c>
      <c r="P37" s="134">
        <v>240284</v>
      </c>
      <c r="Q37" s="244">
        <f>'Q - BS'!K36</f>
        <v>258542</v>
      </c>
      <c r="R37" s="244">
        <f>'Q - BS'!L36</f>
        <v>273633</v>
      </c>
      <c r="S37" s="244">
        <f>'Q - BS'!M36</f>
        <v>295172</v>
      </c>
      <c r="T37" s="244">
        <f>'Q - BS'!N36</f>
        <v>322139</v>
      </c>
      <c r="U37" s="134">
        <v>322139</v>
      </c>
      <c r="V37" s="244">
        <f>'Q - BS'!O36</f>
        <v>381844</v>
      </c>
      <c r="W37" s="127">
        <f ca="1">V37+'Income Statement'!AA35</f>
        <v>409730.96932988672</v>
      </c>
      <c r="X37" s="127">
        <f ca="1">W37+'Income Statement'!AB35</f>
        <v>440165.95966757013</v>
      </c>
      <c r="Y37" s="127">
        <f ca="1">X37+'Income Statement'!AC35</f>
        <v>477418.39001644967</v>
      </c>
      <c r="Z37" s="127">
        <f ca="1">Y37</f>
        <v>477418.39001644967</v>
      </c>
      <c r="AA37" s="127">
        <f ca="1">Z37+'Income Statement'!AE35</f>
        <v>605146.26534883282</v>
      </c>
      <c r="AB37" s="127">
        <f ca="1">AA37+'Income Statement'!AF35</f>
        <v>746486.21365705214</v>
      </c>
      <c r="AC37" s="127">
        <f ca="1">AB37+'Income Statement'!AG35</f>
        <v>889758.93264891091</v>
      </c>
      <c r="AD37" s="127">
        <f ca="1">AC37+'Income Statement'!AH35</f>
        <v>1032578.5928884852</v>
      </c>
      <c r="AE37" s="127">
        <f ca="1">AD37+'Income Statement'!AI35</f>
        <v>1146155.6105793393</v>
      </c>
      <c r="AF37" s="246"/>
      <c r="AG37" s="246">
        <f>BS!Z30+BS!Z31-BS!Y30-BS!Y31</f>
        <v>0</v>
      </c>
      <c r="AH37" s="246"/>
      <c r="AI37" s="246"/>
      <c r="AJ37" s="247"/>
      <c r="AK37" s="247"/>
      <c r="AL37" s="247"/>
      <c r="AM37" s="247"/>
      <c r="AN37" s="246"/>
      <c r="AO37" s="246"/>
      <c r="AP37" s="246"/>
      <c r="AQ37" s="246"/>
      <c r="AR37" s="246"/>
    </row>
    <row r="38" spans="1:44" ht="15.75" customHeight="1">
      <c r="A38" s="255" t="s">
        <v>112</v>
      </c>
      <c r="D38" s="134"/>
      <c r="E38" s="134"/>
      <c r="F38" s="134"/>
      <c r="G38" s="135"/>
      <c r="H38" s="135"/>
      <c r="I38" s="135"/>
      <c r="J38" s="135"/>
      <c r="K38" s="134"/>
      <c r="L38" s="135"/>
      <c r="M38" s="135"/>
      <c r="N38" s="135"/>
      <c r="O38" s="135"/>
      <c r="P38" s="134"/>
      <c r="Q38" s="135"/>
      <c r="R38" s="135"/>
      <c r="S38" s="135"/>
      <c r="T38" s="135"/>
      <c r="U38" s="134"/>
      <c r="V38" s="135"/>
      <c r="W38" s="666">
        <f>'CFS - Estimates'!W11+'CFS - Estimates'!W25</f>
        <v>3397.7932050552117</v>
      </c>
      <c r="X38" s="666">
        <f>W38+'CFS - Estimates'!X11+'CFS - Estimates'!X25</f>
        <v>7231.2190241076405</v>
      </c>
      <c r="Y38" s="666">
        <f>X38+'CFS - Estimates'!Y11+'CFS - Estimates'!Y25</f>
        <v>11592.748971821009</v>
      </c>
      <c r="Z38" s="666">
        <f>Y38</f>
        <v>11592.748971821009</v>
      </c>
      <c r="AA38" s="666">
        <f>Z38+'CFS - Estimates'!AA11+'CFS - Estimates'!AA25</f>
        <v>29587.306094076946</v>
      </c>
      <c r="AB38" s="666">
        <f>AA38+'CFS - Estimates'!AB11+'CFS - Estimates'!AB25</f>
        <v>50904.356983106802</v>
      </c>
      <c r="AC38" s="666">
        <f>AB38+'CFS - Estimates'!AC11+'CFS - Estimates'!AC25</f>
        <v>75381.12795176552</v>
      </c>
      <c r="AD38" s="666">
        <f>AC38+'CFS - Estimates'!AD11+'CFS - Estimates'!AD25</f>
        <v>102931.47946327209</v>
      </c>
      <c r="AE38" s="666">
        <f>AD38+'CFS - Estimates'!AE11+'CFS - Estimates'!AE25</f>
        <v>133292.96279549977</v>
      </c>
      <c r="AF38" s="732"/>
      <c r="AJ38" s="248"/>
      <c r="AK38" s="248"/>
      <c r="AL38" s="248"/>
      <c r="AM38" s="248"/>
    </row>
    <row r="39" spans="1:44" ht="15" customHeight="1">
      <c r="D39" s="256"/>
      <c r="E39" s="256"/>
      <c r="F39" s="256"/>
      <c r="K39" s="256"/>
      <c r="P39" s="256"/>
      <c r="U39" s="256"/>
      <c r="AE39" s="188"/>
      <c r="AJ39" s="248"/>
      <c r="AK39" s="248"/>
      <c r="AL39" s="248"/>
      <c r="AM39" s="248"/>
    </row>
    <row r="40" spans="1:44" ht="15.75" customHeight="1">
      <c r="A40" s="260" t="s">
        <v>113</v>
      </c>
      <c r="B40" s="261"/>
      <c r="C40" s="261"/>
      <c r="D40" s="234">
        <f t="shared" ref="D40:V40" si="16">D35+D21</f>
        <v>319616</v>
      </c>
      <c r="E40" s="234">
        <f t="shared" si="16"/>
        <v>359268</v>
      </c>
      <c r="F40" s="234">
        <f t="shared" si="16"/>
        <v>365264</v>
      </c>
      <c r="G40" s="235">
        <f t="shared" si="16"/>
        <v>369491</v>
      </c>
      <c r="H40" s="235">
        <f t="shared" si="16"/>
        <v>383044</v>
      </c>
      <c r="I40" s="235">
        <f t="shared" si="16"/>
        <v>396711</v>
      </c>
      <c r="J40" s="235">
        <f t="shared" si="16"/>
        <v>402392</v>
      </c>
      <c r="K40" s="234">
        <f t="shared" si="16"/>
        <v>402392</v>
      </c>
      <c r="L40" s="235">
        <f t="shared" si="16"/>
        <v>407350</v>
      </c>
      <c r="M40" s="235">
        <f t="shared" si="16"/>
        <v>414770</v>
      </c>
      <c r="N40" s="235">
        <f t="shared" si="16"/>
        <v>430266</v>
      </c>
      <c r="O40" s="235">
        <f t="shared" si="16"/>
        <v>450256</v>
      </c>
      <c r="P40" s="234">
        <f t="shared" si="16"/>
        <v>450256</v>
      </c>
      <c r="Q40" s="235">
        <f t="shared" si="16"/>
        <v>475374</v>
      </c>
      <c r="R40" s="235">
        <f t="shared" si="16"/>
        <v>502053</v>
      </c>
      <c r="S40" s="235">
        <f t="shared" si="16"/>
        <v>536469</v>
      </c>
      <c r="T40" s="235">
        <f t="shared" si="16"/>
        <v>595281</v>
      </c>
      <c r="U40" s="234">
        <f t="shared" si="16"/>
        <v>595281</v>
      </c>
      <c r="V40" s="235">
        <f t="shared" si="16"/>
        <v>703919</v>
      </c>
      <c r="W40" s="236">
        <f ca="1">W35+W21</f>
        <v>814950.10095715278</v>
      </c>
      <c r="X40" s="236">
        <f t="shared" ref="X40:AE40" ca="1" si="17">X35+X21</f>
        <v>866591.19037935021</v>
      </c>
      <c r="Y40" s="236">
        <f t="shared" ca="1" si="17"/>
        <v>928345.17841842235</v>
      </c>
      <c r="Z40" s="236">
        <f t="shared" ca="1" si="17"/>
        <v>928345.17841842235</v>
      </c>
      <c r="AA40" s="236">
        <f t="shared" ca="1" si="17"/>
        <v>1087431.4598706821</v>
      </c>
      <c r="AB40" s="236">
        <f t="shared" ca="1" si="17"/>
        <v>1280692.2706366847</v>
      </c>
      <c r="AC40" s="236">
        <f t="shared" ca="1" si="17"/>
        <v>1475396.3213071974</v>
      </c>
      <c r="AD40" s="236">
        <f t="shared" ca="1" si="17"/>
        <v>1671992.6810352821</v>
      </c>
      <c r="AE40" s="236">
        <f t="shared" ca="1" si="17"/>
        <v>1837821.8476566211</v>
      </c>
      <c r="AF40" s="237"/>
      <c r="AG40" s="237"/>
      <c r="AH40" s="237"/>
      <c r="AI40" s="237"/>
      <c r="AJ40" s="249"/>
      <c r="AK40" s="249"/>
      <c r="AL40" s="249"/>
      <c r="AM40" s="249"/>
      <c r="AN40" s="237"/>
      <c r="AO40" s="237"/>
      <c r="AP40" s="237"/>
      <c r="AQ40" s="237"/>
      <c r="AR40" s="237"/>
    </row>
    <row r="41" spans="1:44" ht="15.75" customHeight="1">
      <c r="D41" s="256"/>
      <c r="E41" s="256"/>
      <c r="F41" s="256"/>
      <c r="K41" s="256"/>
      <c r="P41" s="256"/>
      <c r="U41" s="256"/>
      <c r="AE41" s="188"/>
      <c r="AJ41" s="248"/>
      <c r="AK41" s="248"/>
      <c r="AL41" s="248"/>
      <c r="AM41" s="248"/>
    </row>
    <row r="42" spans="1:44" ht="15.75" customHeight="1">
      <c r="A42" s="260" t="s">
        <v>114</v>
      </c>
      <c r="B42" s="261"/>
      <c r="C42" s="261"/>
      <c r="D42" s="234">
        <f>D11+D12-D24-D25-D26-D27</f>
        <v>-19232</v>
      </c>
      <c r="E42" s="234">
        <f>E11+E12-E24-E25-E26-E27</f>
        <v>-15760</v>
      </c>
      <c r="F42" s="234">
        <f>F11+F12-F24-F25-F26-F27</f>
        <v>-18267</v>
      </c>
      <c r="G42" s="262">
        <f>'Q - BS'!C40</f>
        <v>-21971</v>
      </c>
      <c r="H42" s="262">
        <f>'Q - BS'!D40</f>
        <v>-27253</v>
      </c>
      <c r="I42" s="262">
        <f>'Q - BS'!E40</f>
        <v>-29920</v>
      </c>
      <c r="J42" s="262">
        <f>'Q - BS'!F40</f>
        <v>-21200</v>
      </c>
      <c r="K42" s="234">
        <f>K11+K12-K24-K25-K26-K27</f>
        <v>-21200</v>
      </c>
      <c r="L42" s="262">
        <f>'Q - BS'!G40</f>
        <v>-19616</v>
      </c>
      <c r="M42" s="262">
        <f>'Q - BS'!H40</f>
        <v>-16643</v>
      </c>
      <c r="N42" s="262">
        <f>'Q - BS'!I40</f>
        <v>-16492</v>
      </c>
      <c r="O42" s="262">
        <f>'Q - BS'!J40</f>
        <v>-21068</v>
      </c>
      <c r="P42" s="234">
        <f t="shared" ref="P42:V42" si="18">P11+P12-P24-P25-P26-P27</f>
        <v>-21068</v>
      </c>
      <c r="Q42" s="262">
        <f t="shared" si="18"/>
        <v>-24930</v>
      </c>
      <c r="R42" s="262">
        <f t="shared" si="18"/>
        <v>-16242</v>
      </c>
      <c r="S42" s="262">
        <f t="shared" si="18"/>
        <v>-24099</v>
      </c>
      <c r="T42" s="262">
        <f t="shared" si="18"/>
        <v>-23550</v>
      </c>
      <c r="U42" s="234">
        <f t="shared" si="18"/>
        <v>-23550</v>
      </c>
      <c r="V42" s="251">
        <f t="shared" si="18"/>
        <v>-24275</v>
      </c>
      <c r="W42" s="236">
        <f>W50+W53-W58-W61-W64-W67</f>
        <v>-16109.363785921014</v>
      </c>
      <c r="X42" s="236">
        <f t="shared" ref="X42:AE42" si="19">X50+X53-X58-X61-X64-X67</f>
        <v>-18361.50296283231</v>
      </c>
      <c r="Y42" s="236">
        <f t="shared" si="19"/>
        <v>-20831.611016575538</v>
      </c>
      <c r="Z42" s="236">
        <f t="shared" si="19"/>
        <v>-20831.611016575538</v>
      </c>
      <c r="AA42" s="236">
        <f t="shared" si="19"/>
        <v>-21745.371022606327</v>
      </c>
      <c r="AB42" s="236">
        <f t="shared" si="19"/>
        <v>-23381.672174992214</v>
      </c>
      <c r="AC42" s="236">
        <f t="shared" si="19"/>
        <v>-23901.159391360052</v>
      </c>
      <c r="AD42" s="236">
        <f t="shared" si="19"/>
        <v>-26114.637445591914</v>
      </c>
      <c r="AE42" s="236">
        <f t="shared" si="19"/>
        <v>-27826.169518693438</v>
      </c>
      <c r="AF42" s="263"/>
      <c r="AG42" s="263"/>
      <c r="AH42" s="263"/>
      <c r="AI42" s="263"/>
      <c r="AJ42" s="246"/>
      <c r="AK42" s="246"/>
      <c r="AL42" s="246"/>
      <c r="AM42" s="246"/>
      <c r="AN42" s="246"/>
      <c r="AO42" s="246"/>
      <c r="AP42" s="246"/>
      <c r="AQ42" s="246"/>
      <c r="AR42" s="246"/>
    </row>
    <row r="43" spans="1:44" ht="15.75" customHeight="1">
      <c r="A43" s="264" t="s">
        <v>115</v>
      </c>
      <c r="D43" s="256"/>
      <c r="E43" s="265">
        <f>E42-D42</f>
        <v>3472</v>
      </c>
      <c r="F43" s="265">
        <f>F42-E42</f>
        <v>-2507</v>
      </c>
      <c r="G43" s="266">
        <f>'Q - BS'!C41</f>
        <v>-3704</v>
      </c>
      <c r="H43" s="266">
        <f>'Q - BS'!D41</f>
        <v>-5282</v>
      </c>
      <c r="I43" s="266">
        <f>'Q - BS'!E41</f>
        <v>-2667</v>
      </c>
      <c r="J43" s="266">
        <f>'Q - BS'!F41</f>
        <v>8720</v>
      </c>
      <c r="K43" s="265">
        <f>K42-F42</f>
        <v>-2933</v>
      </c>
      <c r="L43" s="266">
        <f>'Q - BS'!G41</f>
        <v>1584</v>
      </c>
      <c r="M43" s="266">
        <f>'Q - BS'!H41</f>
        <v>2973</v>
      </c>
      <c r="N43" s="266">
        <f>'Q - BS'!I41</f>
        <v>151</v>
      </c>
      <c r="O43" s="266">
        <f>'Q - BS'!J41</f>
        <v>-4576</v>
      </c>
      <c r="P43" s="265">
        <f>P42-K42</f>
        <v>132</v>
      </c>
      <c r="Q43" s="266">
        <f>'Q - BS'!K41</f>
        <v>-3862</v>
      </c>
      <c r="R43" s="266">
        <f>'Q - BS'!L41</f>
        <v>8688</v>
      </c>
      <c r="S43" s="266">
        <f>'Q - BS'!M41</f>
        <v>-7857</v>
      </c>
      <c r="T43" s="266">
        <f>'Q - BS'!N41</f>
        <v>549</v>
      </c>
      <c r="U43" s="265">
        <f>U42-P42</f>
        <v>-2482</v>
      </c>
      <c r="V43" s="266">
        <f>'Q - BS'!O41</f>
        <v>-725</v>
      </c>
      <c r="W43" s="245">
        <f>W42-V42</f>
        <v>8165.6362140789861</v>
      </c>
      <c r="X43" s="245">
        <f t="shared" ref="X43:AE43" si="20">X42-W42</f>
        <v>-2252.1391769112961</v>
      </c>
      <c r="Y43" s="245">
        <f t="shared" si="20"/>
        <v>-2470.1080537432281</v>
      </c>
      <c r="Z43" s="245">
        <f>SUM(V43:Y43)</f>
        <v>2718.3889834244619</v>
      </c>
      <c r="AA43" s="245">
        <f t="shared" si="20"/>
        <v>-913.76000603078865</v>
      </c>
      <c r="AB43" s="245">
        <f t="shared" si="20"/>
        <v>-1636.3011523858877</v>
      </c>
      <c r="AC43" s="245">
        <f t="shared" si="20"/>
        <v>-519.48721636783739</v>
      </c>
      <c r="AD43" s="245">
        <f t="shared" si="20"/>
        <v>-2213.4780542318622</v>
      </c>
      <c r="AE43" s="245">
        <f t="shared" si="20"/>
        <v>-1711.5320731015236</v>
      </c>
      <c r="AF43" s="246"/>
      <c r="AG43" s="246"/>
      <c r="AH43" s="246"/>
      <c r="AI43" s="246"/>
      <c r="AJ43" s="246"/>
      <c r="AK43" s="246"/>
      <c r="AL43" s="246"/>
      <c r="AM43" s="246"/>
      <c r="AN43" s="246"/>
      <c r="AO43" s="246"/>
      <c r="AP43" s="246"/>
      <c r="AQ43" s="246"/>
      <c r="AR43" s="246"/>
    </row>
    <row r="44" spans="1:44">
      <c r="D44" s="256"/>
      <c r="E44" s="256"/>
      <c r="F44" s="256"/>
      <c r="K44" s="256"/>
      <c r="P44" s="256"/>
      <c r="U44" s="256"/>
      <c r="AE44" s="188"/>
    </row>
    <row r="45" spans="1:44" ht="15" customHeight="1">
      <c r="A45" s="71" t="s">
        <v>116</v>
      </c>
      <c r="D45" s="265">
        <f>'Income Statement'!D6</f>
        <v>182527</v>
      </c>
      <c r="E45" s="265">
        <f>'Income Statement'!E6</f>
        <v>257637</v>
      </c>
      <c r="F45" s="265">
        <f>'Income Statement'!J6</f>
        <v>282836</v>
      </c>
      <c r="G45" s="267">
        <f>'Income Statement'!K6</f>
        <v>69787</v>
      </c>
      <c r="H45" s="267">
        <f>'Income Statement'!L6</f>
        <v>74604</v>
      </c>
      <c r="I45" s="267">
        <f>'Income Statement'!M6</f>
        <v>76693</v>
      </c>
      <c r="J45" s="267">
        <f>'Income Statement'!N6</f>
        <v>86310</v>
      </c>
      <c r="K45" s="265">
        <f>'Income Statement'!O6</f>
        <v>307394</v>
      </c>
      <c r="L45" s="267">
        <f>'Income Statement'!P6</f>
        <v>80539</v>
      </c>
      <c r="M45" s="267">
        <f>'Income Statement'!Q6</f>
        <v>84742</v>
      </c>
      <c r="N45" s="267">
        <f>'Income Statement'!R6</f>
        <v>88268</v>
      </c>
      <c r="O45" s="267">
        <f>'Income Statement'!S6</f>
        <v>96469</v>
      </c>
      <c r="P45" s="265">
        <f>'Income Statement'!T6</f>
        <v>350018</v>
      </c>
      <c r="Q45" s="267">
        <f>'Income Statement'!U6</f>
        <v>90234</v>
      </c>
      <c r="R45" s="267">
        <f>'Income Statement'!V6</f>
        <v>96428</v>
      </c>
      <c r="S45" s="267">
        <f>'Income Statement'!W6</f>
        <v>102346</v>
      </c>
      <c r="T45" s="267">
        <f>'Income Statement'!X6</f>
        <v>113828</v>
      </c>
      <c r="U45" s="265">
        <f>'Income Statement'!Y6</f>
        <v>402836</v>
      </c>
      <c r="V45" s="267">
        <f>'Income Statement'!Z6</f>
        <v>109896</v>
      </c>
      <c r="W45" s="245">
        <f>'Income Statement'!AA6</f>
        <v>119510.96457299999</v>
      </c>
      <c r="X45" s="245">
        <f>'Income Statement'!AB6</f>
        <v>134833.51975993899</v>
      </c>
      <c r="Y45" s="245">
        <f>'Income Statement'!AC6</f>
        <v>153408.58598743979</v>
      </c>
      <c r="Z45" s="245">
        <f>'Income Statement'!AD6</f>
        <v>517649.07032037876</v>
      </c>
      <c r="AA45" s="245">
        <f>'Income Statement'!AE6</f>
        <v>632924.59221626155</v>
      </c>
      <c r="AB45" s="245">
        <f>'Income Statement'!AF6</f>
        <v>749787.04113286035</v>
      </c>
      <c r="AC45" s="245">
        <f>'Income Statement'!AG6</f>
        <v>860924.23274749389</v>
      </c>
      <c r="AD45" s="245">
        <f>'Income Statement'!AH6</f>
        <v>969031.62869556004</v>
      </c>
      <c r="AE45" s="245">
        <f>'Income Statement'!AI6</f>
        <v>1067907.8860664896</v>
      </c>
      <c r="AF45" s="267"/>
    </row>
    <row r="46" spans="1:44" ht="15" customHeight="1">
      <c r="A46" s="71" t="s">
        <v>117</v>
      </c>
      <c r="D46" s="265">
        <f>'Income Statement'!D8</f>
        <v>84732</v>
      </c>
      <c r="E46" s="265">
        <f>'Income Statement'!E8</f>
        <v>110939</v>
      </c>
      <c r="F46" s="265">
        <f>'Income Statement'!J8</f>
        <v>126203</v>
      </c>
      <c r="G46" s="267">
        <f>'Income Statement'!K8</f>
        <v>30612</v>
      </c>
      <c r="H46" s="267">
        <f>'Income Statement'!L8</f>
        <v>31916</v>
      </c>
      <c r="I46" s="267">
        <f>'Income Statement'!M8</f>
        <v>33229</v>
      </c>
      <c r="J46" s="267">
        <f>'Income Statement'!N8</f>
        <v>37575</v>
      </c>
      <c r="K46" s="265">
        <f>'Income Statement'!O8</f>
        <v>133332</v>
      </c>
      <c r="L46" s="267">
        <f>'Income Statement'!P8</f>
        <v>33712</v>
      </c>
      <c r="M46" s="267">
        <f>'Income Statement'!Q8</f>
        <v>35507</v>
      </c>
      <c r="N46" s="267">
        <f>'Income Statement'!R8</f>
        <v>36474</v>
      </c>
      <c r="O46" s="267">
        <f>'Income Statement'!S8</f>
        <v>40613</v>
      </c>
      <c r="P46" s="265">
        <f>'Income Statement'!T8</f>
        <v>146306</v>
      </c>
      <c r="Q46" s="267">
        <f>'Income Statement'!U8</f>
        <v>36361</v>
      </c>
      <c r="R46" s="267">
        <f>'Income Statement'!V8</f>
        <v>39039</v>
      </c>
      <c r="S46" s="267">
        <f>'Income Statement'!W8</f>
        <v>41369</v>
      </c>
      <c r="T46" s="267">
        <f>'Income Statement'!X8</f>
        <v>45766</v>
      </c>
      <c r="U46" s="265">
        <f>'Income Statement'!Y8</f>
        <v>162535</v>
      </c>
      <c r="V46" s="267">
        <f>'Income Statement'!Z8</f>
        <v>41271</v>
      </c>
      <c r="W46" s="245">
        <f>'Income Statement'!AA8</f>
        <v>43331.861707791722</v>
      </c>
      <c r="X46" s="245">
        <f>'Income Statement'!AB8</f>
        <v>48966.555263750044</v>
      </c>
      <c r="Y46" s="245">
        <f>'Income Statement'!AC8</f>
        <v>55687.16373364826</v>
      </c>
      <c r="Z46" s="245">
        <f>'Income Statement'!AD8</f>
        <v>189263.18070519003</v>
      </c>
      <c r="AA46" s="245">
        <f>'Income Statement'!AE8</f>
        <v>230709.5426619277</v>
      </c>
      <c r="AB46" s="245">
        <f>'Income Statement'!AF8</f>
        <v>269268.43384102354</v>
      </c>
      <c r="AC46" s="245">
        <f>'Income Statement'!AG8</f>
        <v>304178.06235309463</v>
      </c>
      <c r="AD46" s="245">
        <f>'Income Statement'!AH8</f>
        <v>341036.39950052049</v>
      </c>
      <c r="AE46" s="245">
        <f>'Income Statement'!AI8</f>
        <v>374216.08939000691</v>
      </c>
    </row>
    <row r="47" spans="1:44" ht="15" customHeight="1">
      <c r="A47" s="71" t="s">
        <v>118</v>
      </c>
      <c r="D47" s="265">
        <f>'Income Statement'!D12</f>
        <v>56571</v>
      </c>
      <c r="E47" s="265">
        <f>'Income Statement'!E12</f>
        <v>67984</v>
      </c>
      <c r="F47" s="265">
        <f>'Income Statement'!J12</f>
        <v>81791</v>
      </c>
      <c r="G47" s="267">
        <f>'Income Statement'!K12</f>
        <v>21760</v>
      </c>
      <c r="H47" s="267">
        <f>'Income Statement'!L12</f>
        <v>20850</v>
      </c>
      <c r="I47" s="267">
        <f>'Income Statement'!M12</f>
        <v>22121</v>
      </c>
      <c r="J47" s="267">
        <f>'Income Statement'!N12</f>
        <v>25038</v>
      </c>
      <c r="K47" s="265">
        <f>'Income Statement'!O12</f>
        <v>89769</v>
      </c>
      <c r="L47" s="267">
        <f>'Income Statement'!P12</f>
        <v>21355</v>
      </c>
      <c r="M47" s="267">
        <f>'Income Statement'!Q12</f>
        <v>21810</v>
      </c>
      <c r="N47" s="267">
        <f>'Income Statement'!R12</f>
        <v>23273</v>
      </c>
      <c r="O47" s="267">
        <f>'Income Statement'!S12</f>
        <v>24884</v>
      </c>
      <c r="P47" s="265">
        <f>'Income Statement'!T12</f>
        <v>91322</v>
      </c>
      <c r="Q47" s="267">
        <f>'Income Statement'!U12</f>
        <v>23267</v>
      </c>
      <c r="R47" s="267">
        <f>'Income Statement'!V12</f>
        <v>26118</v>
      </c>
      <c r="S47" s="267">
        <f>'Income Statement'!W12</f>
        <v>29749</v>
      </c>
      <c r="T47" s="267">
        <f>'Income Statement'!X12</f>
        <v>32128</v>
      </c>
      <c r="U47" s="265">
        <f>'Income Statement'!Y12</f>
        <v>111262</v>
      </c>
      <c r="V47" s="267">
        <f>'Income Statement'!Z12</f>
        <v>28929</v>
      </c>
      <c r="W47" s="245">
        <f>'Income Statement'!AA12</f>
        <v>30361.78065239828</v>
      </c>
      <c r="X47" s="245">
        <f>'Income Statement'!AB12</f>
        <v>34309.899266437104</v>
      </c>
      <c r="Y47" s="245">
        <f>'Income Statement'!AC12</f>
        <v>39018.897037862385</v>
      </c>
      <c r="Z47" s="245">
        <f>'Income Statement'!AD12</f>
        <v>132619.57695669777</v>
      </c>
      <c r="AA47" s="245">
        <f>'Income Statement'!AE12</f>
        <v>159299.446123712</v>
      </c>
      <c r="AB47" s="245">
        <f>'Income Statement'!AF12</f>
        <v>185923.4424140401</v>
      </c>
      <c r="AC47" s="245">
        <f>'Income Statement'!AG12</f>
        <v>210027.70971999393</v>
      </c>
      <c r="AD47" s="245">
        <f>'Income Statement'!AH12</f>
        <v>235477.5139408356</v>
      </c>
      <c r="AE47" s="245">
        <f>'Income Statement'!AI12</f>
        <v>258387.29981690957</v>
      </c>
    </row>
    <row r="48" spans="1:44" ht="15" customHeight="1">
      <c r="A48" s="71" t="s">
        <v>119</v>
      </c>
      <c r="D48" s="256">
        <f>IF(ISNUMBER(D5),360,90)</f>
        <v>360</v>
      </c>
      <c r="E48" s="256">
        <f t="shared" ref="E48:AE48" si="21">IF(ISNUMBER(E5),360,90)</f>
        <v>360</v>
      </c>
      <c r="F48" s="256">
        <f t="shared" si="21"/>
        <v>360</v>
      </c>
      <c r="G48" s="646">
        <f t="shared" si="21"/>
        <v>90</v>
      </c>
      <c r="H48" s="646">
        <f t="shared" si="21"/>
        <v>90</v>
      </c>
      <c r="I48" s="646">
        <f t="shared" si="21"/>
        <v>90</v>
      </c>
      <c r="J48" s="646">
        <f t="shared" si="21"/>
        <v>90</v>
      </c>
      <c r="K48" s="256">
        <f t="shared" si="21"/>
        <v>360</v>
      </c>
      <c r="L48" s="646">
        <f t="shared" si="21"/>
        <v>90</v>
      </c>
      <c r="M48" s="646">
        <f t="shared" si="21"/>
        <v>90</v>
      </c>
      <c r="N48" s="646">
        <f t="shared" si="21"/>
        <v>90</v>
      </c>
      <c r="O48" s="646">
        <f t="shared" si="21"/>
        <v>90</v>
      </c>
      <c r="P48" s="256">
        <f t="shared" si="21"/>
        <v>360</v>
      </c>
      <c r="Q48" s="646">
        <f t="shared" si="21"/>
        <v>90</v>
      </c>
      <c r="R48" s="646">
        <f t="shared" si="21"/>
        <v>90</v>
      </c>
      <c r="S48" s="646">
        <f t="shared" si="21"/>
        <v>90</v>
      </c>
      <c r="T48" s="646">
        <f t="shared" si="21"/>
        <v>90</v>
      </c>
      <c r="U48" s="256">
        <f t="shared" si="21"/>
        <v>360</v>
      </c>
      <c r="V48" s="646">
        <f t="shared" si="21"/>
        <v>90</v>
      </c>
      <c r="W48" s="667">
        <f t="shared" si="21"/>
        <v>90</v>
      </c>
      <c r="X48" s="667">
        <f t="shared" si="21"/>
        <v>90</v>
      </c>
      <c r="Y48" s="667">
        <f t="shared" si="21"/>
        <v>90</v>
      </c>
      <c r="Z48" s="667">
        <f t="shared" si="21"/>
        <v>360</v>
      </c>
      <c r="AA48" s="667">
        <f t="shared" si="21"/>
        <v>360</v>
      </c>
      <c r="AB48" s="667">
        <f t="shared" si="21"/>
        <v>360</v>
      </c>
      <c r="AC48" s="667">
        <f t="shared" si="21"/>
        <v>360</v>
      </c>
      <c r="AD48" s="667">
        <f t="shared" si="21"/>
        <v>360</v>
      </c>
      <c r="AE48" s="667">
        <f t="shared" si="21"/>
        <v>360</v>
      </c>
      <c r="AF48" s="646"/>
    </row>
    <row r="49" spans="1:31" ht="15" customHeight="1">
      <c r="A49" s="200" t="s">
        <v>89</v>
      </c>
      <c r="B49" s="258"/>
      <c r="C49" s="258"/>
      <c r="D49" s="268"/>
      <c r="E49" s="268"/>
      <c r="F49" s="268"/>
      <c r="G49" s="258"/>
      <c r="H49" s="258"/>
      <c r="I49" s="258"/>
      <c r="J49" s="258"/>
      <c r="K49" s="268"/>
      <c r="L49" s="258"/>
      <c r="M49" s="258"/>
      <c r="N49" s="258"/>
      <c r="O49" s="258"/>
      <c r="P49" s="268"/>
      <c r="Q49" s="258"/>
      <c r="R49" s="258"/>
      <c r="S49" s="258"/>
      <c r="T49" s="258"/>
      <c r="U49" s="268"/>
      <c r="V49" s="258"/>
      <c r="W49" s="269"/>
      <c r="X49" s="269"/>
      <c r="Y49" s="269"/>
      <c r="Z49" s="269"/>
      <c r="AA49" s="269"/>
      <c r="AB49" s="269"/>
      <c r="AC49" s="269"/>
      <c r="AD49" s="269"/>
      <c r="AE49" s="269"/>
    </row>
    <row r="50" spans="1:31" ht="15" customHeight="1">
      <c r="A50" s="270" t="s">
        <v>120</v>
      </c>
      <c r="D50" s="265">
        <f t="shared" ref="D50:V50" si="22">D11</f>
        <v>30930</v>
      </c>
      <c r="E50" s="265">
        <f t="shared" si="22"/>
        <v>39304</v>
      </c>
      <c r="F50" s="265">
        <f t="shared" si="22"/>
        <v>40258</v>
      </c>
      <c r="G50" s="267">
        <f t="shared" si="22"/>
        <v>36036</v>
      </c>
      <c r="H50" s="267">
        <f t="shared" si="22"/>
        <v>38804</v>
      </c>
      <c r="I50" s="267">
        <f t="shared" si="22"/>
        <v>41020</v>
      </c>
      <c r="J50" s="267">
        <f t="shared" si="22"/>
        <v>47964</v>
      </c>
      <c r="K50" s="265">
        <f t="shared" si="22"/>
        <v>47964</v>
      </c>
      <c r="L50" s="267">
        <f t="shared" si="22"/>
        <v>44552</v>
      </c>
      <c r="M50" s="267">
        <f t="shared" si="22"/>
        <v>47087</v>
      </c>
      <c r="N50" s="267">
        <f t="shared" si="22"/>
        <v>49104</v>
      </c>
      <c r="O50" s="267">
        <f t="shared" si="22"/>
        <v>52340</v>
      </c>
      <c r="P50" s="265">
        <f t="shared" si="22"/>
        <v>52340</v>
      </c>
      <c r="Q50" s="267">
        <f t="shared" si="22"/>
        <v>51000</v>
      </c>
      <c r="R50" s="267">
        <f t="shared" si="22"/>
        <v>55048</v>
      </c>
      <c r="S50" s="267">
        <f t="shared" si="22"/>
        <v>57148</v>
      </c>
      <c r="T50" s="267">
        <f t="shared" si="22"/>
        <v>62886</v>
      </c>
      <c r="U50" s="265">
        <f t="shared" si="22"/>
        <v>62886</v>
      </c>
      <c r="V50" s="267">
        <f t="shared" si="22"/>
        <v>62999</v>
      </c>
      <c r="W50" s="245">
        <f>W51*W$45/W48</f>
        <v>66732.579714085601</v>
      </c>
      <c r="X50" s="245">
        <f t="shared" ref="X50:AA50" si="23">X51*X$45/X48</f>
        <v>75288.394145750644</v>
      </c>
      <c r="Y50" s="245">
        <f t="shared" si="23"/>
        <v>85660.346979952417</v>
      </c>
      <c r="Z50" s="245">
        <f>Y50</f>
        <v>85660.346979952417</v>
      </c>
      <c r="AA50" s="245">
        <f t="shared" si="23"/>
        <v>88353.171096024555</v>
      </c>
      <c r="AB50" s="245">
        <f t="shared" ref="AB50" si="24">AB51*AB$45/AB48</f>
        <v>104666.59621934591</v>
      </c>
      <c r="AC50" s="245">
        <f t="shared" ref="AC50" si="25">AC51*AC$45/AC48</f>
        <v>120180.80348292504</v>
      </c>
      <c r="AD50" s="245">
        <f t="shared" ref="AD50" si="26">AD51*AD$45/AD48</f>
        <v>135272.06612054663</v>
      </c>
      <c r="AE50" s="245">
        <f t="shared" ref="AE50" si="27">AE51*AE$45/AE48</f>
        <v>149074.70705481345</v>
      </c>
    </row>
    <row r="51" spans="1:31" ht="15" customHeight="1">
      <c r="A51" s="71"/>
      <c r="B51" s="271" t="s">
        <v>121</v>
      </c>
      <c r="D51" s="272">
        <f>(D50/D$45)*360</f>
        <v>61.003577552909981</v>
      </c>
      <c r="E51" s="272">
        <f>(E50/E$45)*360</f>
        <v>54.920061947623978</v>
      </c>
      <c r="F51" s="272">
        <f>(F50/F$45)*360</f>
        <v>51.241284702088841</v>
      </c>
      <c r="G51" s="273">
        <f>(G50/G$45)*90</f>
        <v>46.473411953515701</v>
      </c>
      <c r="H51" s="273">
        <f>(H50/H$45)*90</f>
        <v>46.811967186746017</v>
      </c>
      <c r="I51" s="273">
        <f>(I50/I$45)*90</f>
        <v>48.13737890029077</v>
      </c>
      <c r="J51" s="273">
        <f>(J50/J$45)*90</f>
        <v>50.01459854014599</v>
      </c>
      <c r="K51" s="272">
        <f>(K50/K$45)*360</f>
        <v>56.172339082740713</v>
      </c>
      <c r="L51" s="273">
        <f>(L50/L$45)*90</f>
        <v>49.785569723984651</v>
      </c>
      <c r="M51" s="273">
        <f>(M50/M$45)*90</f>
        <v>50.008614382478584</v>
      </c>
      <c r="N51" s="273">
        <f>(N50/N$45)*90</f>
        <v>50.067521638645943</v>
      </c>
      <c r="O51" s="273">
        <f>(O50/O$45)*90</f>
        <v>48.830194155635489</v>
      </c>
      <c r="P51" s="272">
        <f>(P50/P$45)*360</f>
        <v>53.832660034626791</v>
      </c>
      <c r="Q51" s="273">
        <f>(Q50/Q$45)*90</f>
        <v>50.867743865948533</v>
      </c>
      <c r="R51" s="273">
        <f>(R50/R$45)*90</f>
        <v>51.378437798149918</v>
      </c>
      <c r="S51" s="273">
        <f>(S50/S$45)*90</f>
        <v>50.254235632071605</v>
      </c>
      <c r="T51" s="273">
        <f>(T50/T$45)*90</f>
        <v>49.721861053519348</v>
      </c>
      <c r="U51" s="272">
        <f>(U50/U$45)*360</f>
        <v>56.198949448410772</v>
      </c>
      <c r="V51" s="273">
        <f>(V50/V$45)*90</f>
        <v>51.593415592924224</v>
      </c>
      <c r="W51" s="274">
        <f>MEDIAN(D51:V51)</f>
        <v>50.254235632071605</v>
      </c>
      <c r="X51" s="274">
        <f>W51</f>
        <v>50.254235632071605</v>
      </c>
      <c r="Y51" s="274">
        <f>X51</f>
        <v>50.254235632071605</v>
      </c>
      <c r="Z51" s="275"/>
      <c r="AA51" s="274">
        <f>W51</f>
        <v>50.254235632071605</v>
      </c>
      <c r="AB51" s="274">
        <f t="shared" ref="AB51:AE51" si="28">X51</f>
        <v>50.254235632071605</v>
      </c>
      <c r="AC51" s="274">
        <f t="shared" si="28"/>
        <v>50.254235632071605</v>
      </c>
      <c r="AD51" s="274">
        <f>W51</f>
        <v>50.254235632071605</v>
      </c>
      <c r="AE51" s="274">
        <f t="shared" si="28"/>
        <v>50.254235632071605</v>
      </c>
    </row>
    <row r="52" spans="1:31" ht="15" customHeight="1">
      <c r="A52" s="71"/>
      <c r="D52" s="265"/>
      <c r="E52" s="265"/>
      <c r="F52" s="265"/>
      <c r="G52" s="267"/>
      <c r="H52" s="267"/>
      <c r="I52" s="267"/>
      <c r="J52" s="267"/>
      <c r="K52" s="265"/>
      <c r="L52" s="267"/>
      <c r="M52" s="267"/>
      <c r="N52" s="267"/>
      <c r="O52" s="267"/>
      <c r="P52" s="265"/>
      <c r="Q52" s="267"/>
      <c r="R52" s="267"/>
      <c r="S52" s="267"/>
      <c r="T52" s="267"/>
      <c r="U52" s="265"/>
      <c r="V52" s="267"/>
      <c r="AE52" s="188"/>
    </row>
    <row r="53" spans="1:31" ht="15" customHeight="1">
      <c r="A53" s="71" t="s">
        <v>122</v>
      </c>
      <c r="D53" s="265">
        <f t="shared" ref="D53:V53" si="29">D12</f>
        <v>6672</v>
      </c>
      <c r="E53" s="265">
        <f t="shared" si="29"/>
        <v>9190</v>
      </c>
      <c r="F53" s="265">
        <f t="shared" si="29"/>
        <v>10775</v>
      </c>
      <c r="G53" s="267">
        <f t="shared" si="29"/>
        <v>10847</v>
      </c>
      <c r="H53" s="267">
        <f t="shared" si="29"/>
        <v>11652</v>
      </c>
      <c r="I53" s="267">
        <f t="shared" si="29"/>
        <v>15355</v>
      </c>
      <c r="J53" s="267">
        <f t="shared" si="29"/>
        <v>12650</v>
      </c>
      <c r="K53" s="265">
        <f t="shared" si="29"/>
        <v>12650</v>
      </c>
      <c r="L53" s="267">
        <f t="shared" si="29"/>
        <v>12829</v>
      </c>
      <c r="M53" s="267">
        <f t="shared" si="29"/>
        <v>14183</v>
      </c>
      <c r="N53" s="267">
        <f t="shared" si="29"/>
        <v>15207</v>
      </c>
      <c r="O53" s="267">
        <f t="shared" si="29"/>
        <v>15714</v>
      </c>
      <c r="P53" s="265">
        <f t="shared" si="29"/>
        <v>15714</v>
      </c>
      <c r="Q53" s="267">
        <f t="shared" si="29"/>
        <v>15724</v>
      </c>
      <c r="R53" s="267">
        <f t="shared" si="29"/>
        <v>16020</v>
      </c>
      <c r="S53" s="267">
        <f t="shared" si="29"/>
        <v>18303</v>
      </c>
      <c r="T53" s="267">
        <f t="shared" si="29"/>
        <v>16309</v>
      </c>
      <c r="U53" s="265">
        <f t="shared" si="29"/>
        <v>16309</v>
      </c>
      <c r="V53" s="267">
        <f t="shared" si="29"/>
        <v>23914</v>
      </c>
      <c r="W53" s="245">
        <f>W54*W$45/W48</f>
        <v>19467.344922204251</v>
      </c>
      <c r="X53" s="245">
        <f t="shared" ref="X53:AA53" si="30">X54*X$45/X48</f>
        <v>21963.262079089462</v>
      </c>
      <c r="Y53" s="245">
        <f t="shared" si="30"/>
        <v>24988.986308623793</v>
      </c>
      <c r="Z53" s="245">
        <f>Y53</f>
        <v>24988.986308623793</v>
      </c>
      <c r="AA53" s="245">
        <f t="shared" si="30"/>
        <v>25774.541671641498</v>
      </c>
      <c r="AB53" s="245">
        <f t="shared" ref="AB53" si="31">AB54*AB$45/AB48</f>
        <v>30533.522593687525</v>
      </c>
      <c r="AC53" s="245">
        <f t="shared" ref="AC53" si="32">AC54*AC$45/AC48</f>
        <v>35059.354283226006</v>
      </c>
      <c r="AD53" s="245">
        <f t="shared" ref="AD53" si="33">AD54*AD$45/AD48</f>
        <v>39461.803826415817</v>
      </c>
      <c r="AE53" s="245">
        <f t="shared" ref="AE53" si="34">AE54*AE$45/AE48</f>
        <v>43488.33439148539</v>
      </c>
    </row>
    <row r="54" spans="1:31" ht="15" customHeight="1">
      <c r="A54" s="71"/>
      <c r="B54" s="271" t="s">
        <v>121</v>
      </c>
      <c r="D54" s="272">
        <f>(D53/D$45)*360</f>
        <v>13.159258630230049</v>
      </c>
      <c r="E54" s="272">
        <f>(E53/E$45)*360</f>
        <v>12.841323257140861</v>
      </c>
      <c r="F54" s="272">
        <f>(F53/F$45)*360</f>
        <v>13.714661499950502</v>
      </c>
      <c r="G54" s="273">
        <f>(G53/G$45)*90</f>
        <v>13.988708498717525</v>
      </c>
      <c r="H54" s="273">
        <f>(H53/H$45)*90</f>
        <v>14.056618948045681</v>
      </c>
      <c r="I54" s="273">
        <f>(I53/I$45)*90</f>
        <v>18.019245563480371</v>
      </c>
      <c r="J54" s="273">
        <f>(J53/J$45)*90</f>
        <v>13.190823774765381</v>
      </c>
      <c r="K54" s="272">
        <f>(K53/K$45)*360</f>
        <v>14.814863009687892</v>
      </c>
      <c r="L54" s="273">
        <f>(L53/L$45)*90</f>
        <v>14.336035957734763</v>
      </c>
      <c r="M54" s="273">
        <f>(M53/M$45)*90</f>
        <v>15.063014797857024</v>
      </c>
      <c r="N54" s="273">
        <f>(N53/N$45)*90</f>
        <v>15.505392667784475</v>
      </c>
      <c r="O54" s="273">
        <f>(O53/O$45)*90</f>
        <v>14.660253552954835</v>
      </c>
      <c r="P54" s="272">
        <f>(P53/P$45)*360</f>
        <v>16.162140232788026</v>
      </c>
      <c r="Q54" s="273">
        <f>(Q53/Q$45)*90</f>
        <v>15.683223618591661</v>
      </c>
      <c r="R54" s="273">
        <f>(R53/R$45)*90</f>
        <v>14.952088604969511</v>
      </c>
      <c r="S54" s="273">
        <f>(S53/S$45)*90</f>
        <v>16.095108748754225</v>
      </c>
      <c r="T54" s="273">
        <f>(T53/T$45)*90</f>
        <v>12.894981902519591</v>
      </c>
      <c r="U54" s="272">
        <f>(U53/U$45)*360</f>
        <v>14.574764916740312</v>
      </c>
      <c r="V54" s="273">
        <f>(V53/V$45)*90</f>
        <v>19.584516269927931</v>
      </c>
      <c r="W54" s="274">
        <f>MEDIAN(D54:V54)</f>
        <v>14.660253552954835</v>
      </c>
      <c r="X54" s="274">
        <f>W54</f>
        <v>14.660253552954835</v>
      </c>
      <c r="Y54" s="274">
        <f>X54</f>
        <v>14.660253552954835</v>
      </c>
      <c r="Z54" s="275"/>
      <c r="AA54" s="274">
        <f>W54</f>
        <v>14.660253552954835</v>
      </c>
      <c r="AB54" s="274">
        <f t="shared" ref="AB54" si="35">X54</f>
        <v>14.660253552954835</v>
      </c>
      <c r="AC54" s="274">
        <f t="shared" ref="AC54" si="36">Y54</f>
        <v>14.660253552954835</v>
      </c>
      <c r="AD54" s="274">
        <f>W54</f>
        <v>14.660253552954835</v>
      </c>
      <c r="AE54" s="274">
        <f t="shared" ref="AE54" si="37">AA54</f>
        <v>14.660253552954835</v>
      </c>
    </row>
    <row r="55" spans="1:31" ht="15" customHeight="1">
      <c r="A55" s="71"/>
      <c r="D55" s="265"/>
      <c r="E55" s="265"/>
      <c r="F55" s="265"/>
      <c r="G55" s="267"/>
      <c r="H55" s="267"/>
      <c r="I55" s="267"/>
      <c r="J55" s="267"/>
      <c r="K55" s="265"/>
      <c r="L55" s="267"/>
      <c r="M55" s="267"/>
      <c r="N55" s="267"/>
      <c r="O55" s="267"/>
      <c r="P55" s="265"/>
      <c r="Q55" s="267"/>
      <c r="R55" s="267"/>
      <c r="S55" s="267"/>
      <c r="T55" s="267"/>
      <c r="U55" s="265"/>
      <c r="V55" s="267"/>
      <c r="AE55" s="188"/>
    </row>
    <row r="56" spans="1:31" ht="15" customHeight="1">
      <c r="A56" s="71"/>
      <c r="D56" s="265"/>
      <c r="E56" s="265"/>
      <c r="F56" s="265"/>
      <c r="G56" s="267"/>
      <c r="H56" s="267"/>
      <c r="I56" s="267"/>
      <c r="J56" s="267"/>
      <c r="K56" s="265"/>
      <c r="L56" s="267"/>
      <c r="M56" s="267"/>
      <c r="N56" s="267"/>
      <c r="O56" s="267"/>
      <c r="P56" s="265"/>
      <c r="Q56" s="267"/>
      <c r="R56" s="267"/>
      <c r="S56" s="267"/>
      <c r="T56" s="267"/>
      <c r="U56" s="265"/>
      <c r="V56" s="267"/>
      <c r="AE56" s="188"/>
    </row>
    <row r="57" spans="1:31" ht="15" customHeight="1">
      <c r="A57" s="200" t="s">
        <v>100</v>
      </c>
      <c r="B57" s="258"/>
      <c r="C57" s="258"/>
      <c r="D57" s="276"/>
      <c r="E57" s="276"/>
      <c r="F57" s="276"/>
      <c r="G57" s="277"/>
      <c r="H57" s="277"/>
      <c r="I57" s="277"/>
      <c r="J57" s="277"/>
      <c r="K57" s="276"/>
      <c r="L57" s="277"/>
      <c r="M57" s="277"/>
      <c r="N57" s="277"/>
      <c r="O57" s="277"/>
      <c r="P57" s="276"/>
      <c r="Q57" s="277"/>
      <c r="R57" s="277"/>
      <c r="S57" s="277"/>
      <c r="T57" s="277"/>
      <c r="U57" s="276"/>
      <c r="V57" s="277"/>
      <c r="W57" s="269"/>
      <c r="X57" s="269"/>
      <c r="Y57" s="269"/>
      <c r="Z57" s="269"/>
      <c r="AA57" s="269"/>
      <c r="AB57" s="269"/>
      <c r="AC57" s="269"/>
      <c r="AD57" s="269"/>
      <c r="AE57" s="269"/>
    </row>
    <row r="58" spans="1:31" ht="15" customHeight="1">
      <c r="A58" s="71" t="s">
        <v>123</v>
      </c>
      <c r="D58" s="265">
        <f t="shared" ref="D58:V58" si="38">D25</f>
        <v>11086</v>
      </c>
      <c r="E58" s="265">
        <f t="shared" si="38"/>
        <v>13889</v>
      </c>
      <c r="F58" s="265">
        <f t="shared" si="38"/>
        <v>14028</v>
      </c>
      <c r="G58" s="267">
        <f t="shared" si="38"/>
        <v>9954</v>
      </c>
      <c r="H58" s="267">
        <f t="shared" si="38"/>
        <v>11260</v>
      </c>
      <c r="I58" s="267">
        <f t="shared" si="38"/>
        <v>12562</v>
      </c>
      <c r="J58" s="267">
        <f t="shared" si="38"/>
        <v>15140</v>
      </c>
      <c r="K58" s="265">
        <f t="shared" si="38"/>
        <v>15140</v>
      </c>
      <c r="L58" s="267">
        <f t="shared" si="38"/>
        <v>9703</v>
      </c>
      <c r="M58" s="267">
        <f t="shared" si="38"/>
        <v>11373</v>
      </c>
      <c r="N58" s="267">
        <f t="shared" si="38"/>
        <v>12908</v>
      </c>
      <c r="O58" s="267">
        <f t="shared" si="38"/>
        <v>15069</v>
      </c>
      <c r="P58" s="265">
        <f t="shared" si="38"/>
        <v>15069</v>
      </c>
      <c r="Q58" s="267">
        <f t="shared" si="38"/>
        <v>9984</v>
      </c>
      <c r="R58" s="267">
        <f t="shared" si="38"/>
        <v>12168</v>
      </c>
      <c r="S58" s="267">
        <f t="shared" si="38"/>
        <v>13944</v>
      </c>
      <c r="T58" s="267">
        <f t="shared" si="38"/>
        <v>17546</v>
      </c>
      <c r="U58" s="265">
        <f t="shared" si="38"/>
        <v>17546</v>
      </c>
      <c r="V58" s="267">
        <f t="shared" si="38"/>
        <v>13947</v>
      </c>
      <c r="W58" s="245">
        <f>W59*W47/W48</f>
        <v>15832.394835384028</v>
      </c>
      <c r="X58" s="245">
        <f t="shared" ref="X58:AA58" si="39">X59*X47/X48</f>
        <v>17891.173056267267</v>
      </c>
      <c r="Y58" s="245">
        <f t="shared" si="39"/>
        <v>20346.717836387386</v>
      </c>
      <c r="Z58" s="245">
        <f>Y58</f>
        <v>20346.717836387386</v>
      </c>
      <c r="AA58" s="245">
        <f t="shared" si="39"/>
        <v>20766.99450670537</v>
      </c>
      <c r="AB58" s="245">
        <f t="shared" ref="AB58" si="40">AB59*AB47/AB48</f>
        <v>24237.818782380535</v>
      </c>
      <c r="AC58" s="245">
        <f t="shared" ref="AC58" si="41">AC59*AC47/AC48</f>
        <v>27380.159819411863</v>
      </c>
      <c r="AD58" s="245">
        <f t="shared" ref="AD58" si="42">AD59*AD47/AD48</f>
        <v>30697.911119315944</v>
      </c>
      <c r="AE58" s="245">
        <f t="shared" ref="AE58" si="43">AE59*AE47/AE48</f>
        <v>33684.534168015962</v>
      </c>
    </row>
    <row r="59" spans="1:31" ht="15" customHeight="1">
      <c r="A59" s="71"/>
      <c r="B59" s="271" t="s">
        <v>124</v>
      </c>
      <c r="D59" s="272">
        <f>(D58/D47)*360</f>
        <v>70.547807180357438</v>
      </c>
      <c r="E59" s="272">
        <f>(E58/E47)*360</f>
        <v>73.547305248293725</v>
      </c>
      <c r="F59" s="272">
        <f>(F58/F47)*360</f>
        <v>61.743712633419328</v>
      </c>
      <c r="G59" s="273">
        <f>(G58/G$46)*90</f>
        <v>29.264994119952959</v>
      </c>
      <c r="H59" s="273">
        <f>(H58/H$46)*90</f>
        <v>31.752099260558968</v>
      </c>
      <c r="I59" s="273">
        <f>(I58/I$46)*90</f>
        <v>34.023894790694875</v>
      </c>
      <c r="J59" s="273">
        <f>(J58/J$46)*90</f>
        <v>36.263473053892213</v>
      </c>
      <c r="K59" s="272">
        <f>(K58/K47)*360</f>
        <v>60.715837315777158</v>
      </c>
      <c r="L59" s="273">
        <f>(L58/L47)*90</f>
        <v>40.892999297588389</v>
      </c>
      <c r="M59" s="273">
        <f>(M58/M47)*90</f>
        <v>46.931224209078401</v>
      </c>
      <c r="N59" s="273">
        <f>(N58/N47)*90</f>
        <v>49.917071284320883</v>
      </c>
      <c r="O59" s="273">
        <f>(O58/O47)*90</f>
        <v>54.501285966886357</v>
      </c>
      <c r="P59" s="272">
        <f>(P58/P47)*360</f>
        <v>59.403429622653903</v>
      </c>
      <c r="Q59" s="273">
        <f>(Q58/Q47)*90</f>
        <v>38.619504018567071</v>
      </c>
      <c r="R59" s="273">
        <f>(R58/R47)*90</f>
        <v>41.929703652653345</v>
      </c>
      <c r="S59" s="273">
        <f>(S58/S47)*90</f>
        <v>42.184947393189688</v>
      </c>
      <c r="T59" s="273">
        <f>(T58/T47)*90</f>
        <v>49.151518924302785</v>
      </c>
      <c r="U59" s="272">
        <f>(U58/U47)*360</f>
        <v>56.771943700454784</v>
      </c>
      <c r="V59" s="273">
        <f>(V58/V47)*90</f>
        <v>43.390023851498498</v>
      </c>
      <c r="W59" s="274">
        <f>MEDIAN(D59:V59)</f>
        <v>46.931224209078401</v>
      </c>
      <c r="X59" s="274">
        <f>W59</f>
        <v>46.931224209078401</v>
      </c>
      <c r="Y59" s="274">
        <f>X59</f>
        <v>46.931224209078401</v>
      </c>
      <c r="Z59" s="275"/>
      <c r="AA59" s="274">
        <f>W59</f>
        <v>46.931224209078401</v>
      </c>
      <c r="AB59" s="274">
        <f t="shared" ref="AB59" si="44">X59</f>
        <v>46.931224209078401</v>
      </c>
      <c r="AC59" s="274">
        <f t="shared" ref="AC59" si="45">Y59</f>
        <v>46.931224209078401</v>
      </c>
      <c r="AD59" s="274">
        <f>W59</f>
        <v>46.931224209078401</v>
      </c>
      <c r="AE59" s="274">
        <f t="shared" ref="AE59" si="46">AA59</f>
        <v>46.931224209078401</v>
      </c>
    </row>
    <row r="60" spans="1:31" ht="15" customHeight="1">
      <c r="A60" s="71"/>
      <c r="D60" s="265"/>
      <c r="E60" s="265"/>
      <c r="F60" s="265"/>
      <c r="G60" s="267"/>
      <c r="H60" s="267"/>
      <c r="I60" s="267"/>
      <c r="J60" s="267"/>
      <c r="K60" s="265"/>
      <c r="L60" s="267"/>
      <c r="M60" s="267"/>
      <c r="N60" s="267"/>
      <c r="O60" s="267"/>
      <c r="P60" s="265"/>
      <c r="Q60" s="267"/>
      <c r="R60" s="267"/>
      <c r="S60" s="267"/>
      <c r="T60" s="267"/>
      <c r="U60" s="265"/>
      <c r="V60" s="267"/>
      <c r="AE60" s="188"/>
    </row>
    <row r="61" spans="1:31" ht="15" customHeight="1">
      <c r="A61" s="71" t="s">
        <v>125</v>
      </c>
      <c r="D61" s="265">
        <f t="shared" ref="D61:V61" si="47">D26</f>
        <v>7500</v>
      </c>
      <c r="E61" s="265">
        <f t="shared" si="47"/>
        <v>8996</v>
      </c>
      <c r="F61" s="265">
        <f t="shared" si="47"/>
        <v>8370</v>
      </c>
      <c r="G61" s="267">
        <f t="shared" si="47"/>
        <v>7816</v>
      </c>
      <c r="H61" s="267">
        <f t="shared" si="47"/>
        <v>7990</v>
      </c>
      <c r="I61" s="267">
        <f t="shared" si="47"/>
        <v>8025</v>
      </c>
      <c r="J61" s="267">
        <f t="shared" si="47"/>
        <v>8876</v>
      </c>
      <c r="K61" s="265">
        <f t="shared" si="47"/>
        <v>8876</v>
      </c>
      <c r="L61" s="267">
        <f t="shared" si="47"/>
        <v>8520</v>
      </c>
      <c r="M61" s="267">
        <f t="shared" si="47"/>
        <v>8899</v>
      </c>
      <c r="N61" s="267">
        <f t="shared" si="47"/>
        <v>9365</v>
      </c>
      <c r="O61" s="267">
        <f t="shared" si="47"/>
        <v>9802</v>
      </c>
      <c r="P61" s="265">
        <f t="shared" si="47"/>
        <v>9802</v>
      </c>
      <c r="Q61" s="267">
        <f t="shared" si="47"/>
        <v>9965</v>
      </c>
      <c r="R61" s="267">
        <f t="shared" si="47"/>
        <v>9787</v>
      </c>
      <c r="S61" s="267">
        <f t="shared" si="47"/>
        <v>10081</v>
      </c>
      <c r="T61" s="267">
        <f t="shared" si="47"/>
        <v>10864</v>
      </c>
      <c r="U61" s="265">
        <f t="shared" si="47"/>
        <v>10864</v>
      </c>
      <c r="V61" s="267">
        <f t="shared" si="47"/>
        <v>10208</v>
      </c>
      <c r="W61" s="245">
        <f>W$46*W62/W48</f>
        <v>10951.218015851491</v>
      </c>
      <c r="X61" s="245">
        <f t="shared" ref="X61:AA61" si="48">X$46*X62/X48</f>
        <v>12375.268475532463</v>
      </c>
      <c r="Y61" s="245">
        <f t="shared" si="48"/>
        <v>14073.761123952394</v>
      </c>
      <c r="Z61" s="245">
        <f>Y61</f>
        <v>14073.761123952394</v>
      </c>
      <c r="AA61" s="245">
        <f t="shared" si="48"/>
        <v>14576.747919729058</v>
      </c>
      <c r="AB61" s="245">
        <f t="shared" ref="AB61" si="49">AB$46*AB62/AB48</f>
        <v>17012.9854082042</v>
      </c>
      <c r="AC61" s="245">
        <f t="shared" ref="AC61" si="50">AC$46*AC62/AC48</f>
        <v>19218.654271834705</v>
      </c>
      <c r="AD61" s="245">
        <f t="shared" ref="AD61" si="51">AD$46*AD62/AD48</f>
        <v>21547.446930947692</v>
      </c>
      <c r="AE61" s="245">
        <f t="shared" ref="AE61" si="52">AE$46*AE62/AE48</f>
        <v>23643.814380657172</v>
      </c>
    </row>
    <row r="62" spans="1:31" ht="15" customHeight="1">
      <c r="A62" s="71"/>
      <c r="B62" s="271" t="s">
        <v>126</v>
      </c>
      <c r="D62" s="272">
        <f>(D61/D$46)*360</f>
        <v>31.865174904404476</v>
      </c>
      <c r="E62" s="272">
        <f>(E61/E$46)*360</f>
        <v>29.19225880889498</v>
      </c>
      <c r="F62" s="272">
        <f>(F61/F$46)*360</f>
        <v>23.875819116819727</v>
      </c>
      <c r="G62" s="273">
        <f>(G61/G$46)*90</f>
        <v>22.97922383379067</v>
      </c>
      <c r="H62" s="273">
        <f>(H61/H$46)*90</f>
        <v>22.53101892467728</v>
      </c>
      <c r="I62" s="273">
        <f>(I61/I$46)*90</f>
        <v>21.735532215835565</v>
      </c>
      <c r="J62" s="273">
        <f>(J61/J$46)*90</f>
        <v>21.25988023952096</v>
      </c>
      <c r="K62" s="272">
        <f>(K61/K$46)*360</f>
        <v>23.965439654396544</v>
      </c>
      <c r="L62" s="273">
        <f>(L61/L$46)*90</f>
        <v>22.745609871855716</v>
      </c>
      <c r="M62" s="273">
        <f>(M61/M$46)*90</f>
        <v>22.556397330103927</v>
      </c>
      <c r="N62" s="273">
        <f>(N61/N$46)*90</f>
        <v>23.108241487086694</v>
      </c>
      <c r="O62" s="273">
        <f>(O61/O$46)*90</f>
        <v>21.721616231256</v>
      </c>
      <c r="P62" s="272">
        <f>(P61/P$46)*360</f>
        <v>24.118764780665181</v>
      </c>
      <c r="Q62" s="273">
        <f>(Q61/Q$46)*90</f>
        <v>24.665163224333764</v>
      </c>
      <c r="R62" s="273">
        <f>(R61/R$46)*90</f>
        <v>22.562821793591024</v>
      </c>
      <c r="S62" s="273">
        <f>(S61/S$46)*90</f>
        <v>21.931639633542023</v>
      </c>
      <c r="T62" s="273">
        <f>(T61/T$46)*90</f>
        <v>21.364331599877637</v>
      </c>
      <c r="U62" s="272">
        <f>(U61/U$46)*360</f>
        <v>24.062755714153877</v>
      </c>
      <c r="V62" s="273">
        <f>(V61/V$46)*90</f>
        <v>22.260667296648979</v>
      </c>
      <c r="W62" s="274">
        <f>MEDIAN(D62:V62)</f>
        <v>22.745609871855716</v>
      </c>
      <c r="X62" s="274">
        <f>W62</f>
        <v>22.745609871855716</v>
      </c>
      <c r="Y62" s="274">
        <f>X62</f>
        <v>22.745609871855716</v>
      </c>
      <c r="Z62" s="275"/>
      <c r="AA62" s="274">
        <f>W62</f>
        <v>22.745609871855716</v>
      </c>
      <c r="AB62" s="274">
        <f t="shared" ref="AB62" si="53">X62</f>
        <v>22.745609871855716</v>
      </c>
      <c r="AC62" s="274">
        <f t="shared" ref="AC62" si="54">Y62</f>
        <v>22.745609871855716</v>
      </c>
      <c r="AD62" s="274">
        <f>W62</f>
        <v>22.745609871855716</v>
      </c>
      <c r="AE62" s="274">
        <f t="shared" ref="AE62" si="55">AA62</f>
        <v>22.745609871855716</v>
      </c>
    </row>
    <row r="63" spans="1:31" ht="15" customHeight="1">
      <c r="A63" s="71"/>
      <c r="B63" s="271"/>
      <c r="D63" s="265"/>
      <c r="E63" s="265"/>
      <c r="F63" s="265"/>
      <c r="G63" s="267"/>
      <c r="H63" s="267"/>
      <c r="I63" s="267"/>
      <c r="J63" s="267"/>
      <c r="K63" s="265"/>
      <c r="L63" s="267"/>
      <c r="M63" s="267"/>
      <c r="N63" s="267"/>
      <c r="O63" s="267"/>
      <c r="P63" s="265"/>
      <c r="Q63" s="267"/>
      <c r="R63" s="267"/>
      <c r="S63" s="267"/>
      <c r="T63" s="267"/>
      <c r="U63" s="265"/>
      <c r="V63" s="267"/>
      <c r="AE63" s="188"/>
    </row>
    <row r="64" spans="1:31" ht="15" customHeight="1">
      <c r="A64" s="71" t="s">
        <v>127</v>
      </c>
      <c r="B64" s="271"/>
      <c r="D64" s="265">
        <f t="shared" ref="D64:V64" si="56">D24</f>
        <v>5589</v>
      </c>
      <c r="E64" s="265">
        <f t="shared" si="56"/>
        <v>6037</v>
      </c>
      <c r="F64" s="265">
        <f t="shared" si="56"/>
        <v>5128</v>
      </c>
      <c r="G64" s="267">
        <f t="shared" si="56"/>
        <v>4184</v>
      </c>
      <c r="H64" s="267">
        <f t="shared" si="56"/>
        <v>5313</v>
      </c>
      <c r="I64" s="267">
        <f t="shared" si="56"/>
        <v>5803</v>
      </c>
      <c r="J64" s="267">
        <f t="shared" si="56"/>
        <v>7493</v>
      </c>
      <c r="K64" s="265">
        <f t="shared" si="56"/>
        <v>7493</v>
      </c>
      <c r="L64" s="267">
        <f t="shared" si="56"/>
        <v>6198</v>
      </c>
      <c r="M64" s="267">
        <f t="shared" si="56"/>
        <v>6092</v>
      </c>
      <c r="N64" s="267">
        <f t="shared" si="56"/>
        <v>7049</v>
      </c>
      <c r="O64" s="267">
        <f t="shared" si="56"/>
        <v>7987</v>
      </c>
      <c r="P64" s="265">
        <f t="shared" si="56"/>
        <v>7987</v>
      </c>
      <c r="Q64" s="267">
        <f t="shared" si="56"/>
        <v>8497</v>
      </c>
      <c r="R64" s="267">
        <f t="shared" si="56"/>
        <v>8347</v>
      </c>
      <c r="S64" s="267">
        <f t="shared" si="56"/>
        <v>10546</v>
      </c>
      <c r="T64" s="267">
        <f t="shared" si="56"/>
        <v>12200</v>
      </c>
      <c r="U64" s="265">
        <f t="shared" si="56"/>
        <v>12200</v>
      </c>
      <c r="V64" s="267">
        <f t="shared" si="56"/>
        <v>16852</v>
      </c>
      <c r="W64" s="245">
        <f>W$46*W65/W$48</f>
        <v>9264.8646142303223</v>
      </c>
      <c r="X64" s="245">
        <f t="shared" ref="X64:AA64" si="57">X$46*X65/X$48</f>
        <v>10469.62875039119</v>
      </c>
      <c r="Y64" s="245">
        <f t="shared" si="57"/>
        <v>11906.574340653246</v>
      </c>
      <c r="Z64" s="245">
        <f>Y64</f>
        <v>11906.574340653246</v>
      </c>
      <c r="AA64" s="245">
        <f t="shared" si="57"/>
        <v>12332.107332405485</v>
      </c>
      <c r="AB64" s="245">
        <f t="shared" ref="AB64" si="58">AB$46*AB65/AB$48</f>
        <v>14393.194096102767</v>
      </c>
      <c r="AC64" s="245">
        <f t="shared" ref="AC64" si="59">AC$46*AC65/AC$48</f>
        <v>16259.216978286337</v>
      </c>
      <c r="AD64" s="245">
        <f t="shared" ref="AD64" si="60">AD$46*AD65/AD$48</f>
        <v>18229.404099943931</v>
      </c>
      <c r="AE64" s="245">
        <f t="shared" ref="AE64" si="61">AE$46*AE65/AE$48</f>
        <v>20002.956646804399</v>
      </c>
    </row>
    <row r="65" spans="1:31" ht="15" customHeight="1">
      <c r="A65" s="71"/>
      <c r="B65" s="271" t="s">
        <v>126</v>
      </c>
      <c r="D65" s="272">
        <f>(D64/D$46)*360</f>
        <v>23.745928338762216</v>
      </c>
      <c r="E65" s="272">
        <f>(E64/E$46)*360</f>
        <v>19.590225258926075</v>
      </c>
      <c r="F65" s="272">
        <f>(F64/F$46)*360</f>
        <v>14.627861461296483</v>
      </c>
      <c r="G65" s="273">
        <f>(G64/G$46)*90</f>
        <v>12.301058408467268</v>
      </c>
      <c r="H65" s="273">
        <f>(H64/H$46)*90</f>
        <v>14.982140619125202</v>
      </c>
      <c r="I65" s="273">
        <f>(I64/I$46)*90</f>
        <v>15.717295133768697</v>
      </c>
      <c r="J65" s="273">
        <f>(J64/J$46)*90</f>
        <v>17.947305389221558</v>
      </c>
      <c r="K65" s="272">
        <f>(K64/K$46)*360</f>
        <v>20.231302313023132</v>
      </c>
      <c r="L65" s="273">
        <f>(L64/L$46)*90</f>
        <v>16.546630280018984</v>
      </c>
      <c r="M65" s="273">
        <f>(M64/M$46)*90</f>
        <v>15.441462246880898</v>
      </c>
      <c r="N65" s="273">
        <f>(N64/N$46)*90</f>
        <v>17.393485770685967</v>
      </c>
      <c r="O65" s="273">
        <f>(O64/O$46)*90</f>
        <v>17.699505084578828</v>
      </c>
      <c r="P65" s="272">
        <f>(P64/P$46)*360</f>
        <v>19.652782524298388</v>
      </c>
      <c r="Q65" s="273">
        <f>(Q64/Q$46)*90</f>
        <v>21.031599790984849</v>
      </c>
      <c r="R65" s="273">
        <f>(R64/R$46)*90</f>
        <v>19.243064627680013</v>
      </c>
      <c r="S65" s="273">
        <f>(S64/S$46)*90</f>
        <v>22.943266697285406</v>
      </c>
      <c r="T65" s="273">
        <f>(T64/T$46)*90</f>
        <v>23.991609491762446</v>
      </c>
      <c r="U65" s="272">
        <f>(U64/U$46)*360</f>
        <v>27.021872212138927</v>
      </c>
      <c r="V65" s="273">
        <f>(V64/V$46)*90</f>
        <v>36.749291269898961</v>
      </c>
      <c r="W65" s="274">
        <f>MEDIAN(D65:V65)</f>
        <v>19.243064627680013</v>
      </c>
      <c r="X65" s="274">
        <f>W65</f>
        <v>19.243064627680013</v>
      </c>
      <c r="Y65" s="274">
        <f>X65</f>
        <v>19.243064627680013</v>
      </c>
      <c r="Z65" s="275"/>
      <c r="AA65" s="274">
        <f>W65</f>
        <v>19.243064627680013</v>
      </c>
      <c r="AB65" s="274">
        <f t="shared" ref="AB65" si="62">X65</f>
        <v>19.243064627680013</v>
      </c>
      <c r="AC65" s="274">
        <f t="shared" ref="AC65" si="63">Y65</f>
        <v>19.243064627680013</v>
      </c>
      <c r="AD65" s="274">
        <f>W65</f>
        <v>19.243064627680013</v>
      </c>
      <c r="AE65" s="274">
        <f t="shared" ref="AE65" si="64">AA65</f>
        <v>19.243064627680013</v>
      </c>
    </row>
    <row r="66" spans="1:31" ht="15" customHeight="1">
      <c r="A66" s="71"/>
      <c r="D66" s="265"/>
      <c r="E66" s="265"/>
      <c r="F66" s="265"/>
      <c r="G66" s="267"/>
      <c r="H66" s="267"/>
      <c r="I66" s="267"/>
      <c r="J66" s="267"/>
      <c r="K66" s="265"/>
      <c r="L66" s="267"/>
      <c r="M66" s="267"/>
      <c r="N66" s="267"/>
      <c r="O66" s="267"/>
      <c r="P66" s="265"/>
      <c r="Q66" s="267"/>
      <c r="R66" s="267"/>
      <c r="S66" s="267"/>
      <c r="T66" s="267"/>
      <c r="U66" s="265"/>
      <c r="V66" s="267"/>
      <c r="AE66" s="188"/>
    </row>
    <row r="67" spans="1:31" ht="15" customHeight="1">
      <c r="A67" s="71" t="s">
        <v>128</v>
      </c>
      <c r="D67" s="265">
        <f t="shared" ref="D67:V67" si="65">D27</f>
        <v>32659</v>
      </c>
      <c r="E67" s="265">
        <f t="shared" si="65"/>
        <v>35332</v>
      </c>
      <c r="F67" s="265">
        <f t="shared" si="65"/>
        <v>41774</v>
      </c>
      <c r="G67" s="267">
        <f t="shared" si="65"/>
        <v>46900</v>
      </c>
      <c r="H67" s="267">
        <f t="shared" si="65"/>
        <v>53146</v>
      </c>
      <c r="I67" s="267">
        <f t="shared" si="65"/>
        <v>59905</v>
      </c>
      <c r="J67" s="267">
        <f t="shared" si="65"/>
        <v>50305</v>
      </c>
      <c r="K67" s="265">
        <f t="shared" si="65"/>
        <v>50305</v>
      </c>
      <c r="L67" s="267">
        <f t="shared" si="65"/>
        <v>52576</v>
      </c>
      <c r="M67" s="267">
        <f t="shared" si="65"/>
        <v>51549</v>
      </c>
      <c r="N67" s="267">
        <f t="shared" si="65"/>
        <v>51481</v>
      </c>
      <c r="O67" s="267">
        <f t="shared" si="65"/>
        <v>56264</v>
      </c>
      <c r="P67" s="265">
        <f t="shared" si="65"/>
        <v>56264</v>
      </c>
      <c r="Q67" s="267">
        <f t="shared" si="65"/>
        <v>63208</v>
      </c>
      <c r="R67" s="267">
        <f t="shared" si="65"/>
        <v>57008</v>
      </c>
      <c r="S67" s="267">
        <f t="shared" si="65"/>
        <v>64979</v>
      </c>
      <c r="T67" s="267">
        <f t="shared" si="65"/>
        <v>62135</v>
      </c>
      <c r="U67" s="265">
        <f t="shared" si="65"/>
        <v>62135</v>
      </c>
      <c r="V67" s="267">
        <f t="shared" si="65"/>
        <v>70181</v>
      </c>
      <c r="W67" s="245">
        <f>W$46*W68/W$48</f>
        <v>66260.81095674503</v>
      </c>
      <c r="X67" s="245">
        <f t="shared" ref="X67" si="66">X$46*X68/X$48</f>
        <v>74877.088905481491</v>
      </c>
      <c r="Y67" s="245">
        <f t="shared" ref="Y67" si="67">Y$46*Y68/Y$48</f>
        <v>85153.891004158722</v>
      </c>
      <c r="Z67" s="245">
        <f>Y67</f>
        <v>85153.891004158722</v>
      </c>
      <c r="AA67" s="245">
        <f t="shared" ref="AA67" si="68">AA$46*AA68/AA$48</f>
        <v>88197.234031432468</v>
      </c>
      <c r="AB67" s="245">
        <f t="shared" ref="AB67" si="69">AB$46*AB68/AB$48</f>
        <v>102937.79270133816</v>
      </c>
      <c r="AC67" s="245">
        <f t="shared" ref="AC67" si="70">AC$46*AC68/AC$48</f>
        <v>116283.28608797818</v>
      </c>
      <c r="AD67" s="245">
        <f t="shared" ref="AD67" si="71">AD$46*AD68/AD$48</f>
        <v>130373.74524234681</v>
      </c>
      <c r="AE67" s="245">
        <f t="shared" ref="AE67" si="72">AE$46*AE68/AE$48</f>
        <v>143057.90576951473</v>
      </c>
    </row>
    <row r="68" spans="1:31" ht="15" customHeight="1">
      <c r="A68" s="71"/>
      <c r="B68" s="271" t="s">
        <v>126</v>
      </c>
      <c r="D68" s="272">
        <f>(D67/D$46)*360</f>
        <v>138.7579662937261</v>
      </c>
      <c r="E68" s="272">
        <f>(E67/E$46)*360</f>
        <v>114.65327792750972</v>
      </c>
      <c r="F68" s="272">
        <f>(F67/F$46)*360</f>
        <v>119.16230200549907</v>
      </c>
      <c r="G68" s="273">
        <f>(G67/G$46)*90</f>
        <v>137.88710309682477</v>
      </c>
      <c r="H68" s="273">
        <f>(H67/H$46)*90</f>
        <v>149.86652462714625</v>
      </c>
      <c r="I68" s="273">
        <f>(I67/I$46)*90</f>
        <v>162.25134671521863</v>
      </c>
      <c r="J68" s="273">
        <f>(J67/J$46)*90</f>
        <v>120.49101796407186</v>
      </c>
      <c r="K68" s="272">
        <f>(K67/K$46)*360</f>
        <v>135.82485824858247</v>
      </c>
      <c r="L68" s="273">
        <f>(L67/L$46)*90</f>
        <v>140.36070242050309</v>
      </c>
      <c r="M68" s="273">
        <f>(M67/M$46)*90</f>
        <v>130.66184132706226</v>
      </c>
      <c r="N68" s="273">
        <f>(N67/N$46)*90</f>
        <v>127.02993913472611</v>
      </c>
      <c r="O68" s="273">
        <f>(O67/O$46)*90</f>
        <v>124.68322950779307</v>
      </c>
      <c r="P68" s="272">
        <f>(P67/P$46)*360</f>
        <v>138.44298935108608</v>
      </c>
      <c r="Q68" s="273">
        <f>(Q67/Q$46)*90</f>
        <v>156.45114270784632</v>
      </c>
      <c r="R68" s="273">
        <f>(R67/R$46)*90</f>
        <v>131.42549757934373</v>
      </c>
      <c r="S68" s="273">
        <f>(S67/S$46)*90</f>
        <v>141.36454833329304</v>
      </c>
      <c r="T68" s="273">
        <f>(T67/T$46)*90</f>
        <v>122.19005375169338</v>
      </c>
      <c r="U68" s="272">
        <f>(U67/U$46)*360</f>
        <v>137.62328113944687</v>
      </c>
      <c r="V68" s="273">
        <f>(V67/V$46)*90</f>
        <v>153.04426837246493</v>
      </c>
      <c r="W68" s="274">
        <f>MEDIAN(D68:V68)</f>
        <v>137.62328113944687</v>
      </c>
      <c r="X68" s="274">
        <f>W68</f>
        <v>137.62328113944687</v>
      </c>
      <c r="Y68" s="274">
        <f>X68</f>
        <v>137.62328113944687</v>
      </c>
      <c r="Z68" s="275"/>
      <c r="AA68" s="274">
        <f>W68</f>
        <v>137.62328113944687</v>
      </c>
      <c r="AB68" s="274">
        <f t="shared" ref="AB68" si="73">X68</f>
        <v>137.62328113944687</v>
      </c>
      <c r="AC68" s="274">
        <f t="shared" ref="AC68" si="74">Y68</f>
        <v>137.62328113944687</v>
      </c>
      <c r="AD68" s="274">
        <f>W68</f>
        <v>137.62328113944687</v>
      </c>
      <c r="AE68" s="274">
        <f t="shared" ref="AE68" si="75">AA68</f>
        <v>137.62328113944687</v>
      </c>
    </row>
    <row r="69" spans="1:31" ht="15" customHeight="1">
      <c r="A69" s="71"/>
    </row>
    <row r="70" spans="1:31" ht="15" customHeight="1">
      <c r="A70" s="71"/>
    </row>
    <row r="71" spans="1:31" ht="15" customHeight="1">
      <c r="A71" s="71"/>
    </row>
    <row r="72" spans="1:31" ht="15" customHeight="1">
      <c r="A72" s="71"/>
    </row>
    <row r="73" spans="1:31" ht="15" customHeight="1">
      <c r="A73" s="71"/>
    </row>
    <row r="74" spans="1:31" ht="15" customHeight="1">
      <c r="A74" s="71"/>
    </row>
    <row r="75" spans="1:31" ht="15" customHeight="1">
      <c r="A75" s="71"/>
    </row>
  </sheetData>
  <mergeCells count="1">
    <mergeCell ref="A5:C5"/>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C1B23"/>
  </sheetPr>
  <dimension ref="B1:AD52"/>
  <sheetViews>
    <sheetView showGridLines="0" topLeftCell="E4" zoomScale="77" zoomScaleNormal="77" workbookViewId="0">
      <selection activeCell="V29" sqref="V29"/>
    </sheetView>
  </sheetViews>
  <sheetFormatPr defaultColWidth="8.5" defaultRowHeight="15.75"/>
  <cols>
    <col min="1" max="1" width="3.5" style="144" customWidth="1"/>
    <col min="2" max="2" width="12.75" style="144" customWidth="1"/>
    <col min="3" max="3" width="37" style="144" customWidth="1"/>
    <col min="4" max="5" width="10.75" style="144" customWidth="1"/>
    <col min="6" max="6" width="9.5" style="144" customWidth="1"/>
    <col min="7" max="7" width="16.625" style="144" customWidth="1"/>
    <col min="8" max="14" width="10.25" style="144" customWidth="1"/>
    <col min="15" max="15" width="11.125" style="144" customWidth="1"/>
    <col min="16" max="18" width="10.25" style="144" customWidth="1"/>
    <col min="19" max="19" width="9.5" style="144" customWidth="1"/>
    <col min="20" max="20" width="13.875" style="144" customWidth="1"/>
    <col min="21" max="23" width="12.625" style="144" customWidth="1"/>
    <col min="24" max="26" width="14.25" style="144" customWidth="1"/>
    <col min="27" max="29" width="16.5" style="144" customWidth="1"/>
    <col min="30" max="31" width="9.125" style="144" customWidth="1"/>
    <col min="32" max="32" width="9.875" style="144" customWidth="1"/>
    <col min="33" max="36" width="10.25" style="144" customWidth="1"/>
    <col min="37" max="38" width="9.125" style="144" customWidth="1"/>
    <col min="39" max="39" width="8" style="144" customWidth="1"/>
    <col min="40" max="40" width="9.125" style="144" customWidth="1"/>
    <col min="41" max="16384" width="8.5" style="144"/>
  </cols>
  <sheetData>
    <row r="1" spans="2:30" ht="15.75" customHeight="1">
      <c r="E1" s="496" t="s">
        <v>50</v>
      </c>
    </row>
    <row r="2" spans="2:30" ht="15.75" customHeight="1">
      <c r="E2" s="221" t="s">
        <v>51</v>
      </c>
      <c r="U2" s="497"/>
      <c r="V2" s="497"/>
    </row>
    <row r="3" spans="2:30" ht="15.75" customHeight="1">
      <c r="E3" s="223" t="s">
        <v>52</v>
      </c>
      <c r="U3" s="497"/>
      <c r="V3" s="497"/>
    </row>
    <row r="4" spans="2:30" ht="15.75" customHeight="1">
      <c r="U4" s="497"/>
      <c r="V4" s="497"/>
    </row>
    <row r="5" spans="2:30" ht="15.75" customHeight="1">
      <c r="B5" s="498" t="s">
        <v>129</v>
      </c>
      <c r="C5" s="499"/>
      <c r="D5" s="499"/>
      <c r="E5" s="499"/>
      <c r="F5" s="499"/>
      <c r="G5" s="499"/>
      <c r="H5" s="499"/>
      <c r="I5" s="499"/>
      <c r="J5" s="499"/>
      <c r="K5" s="499"/>
      <c r="L5" s="499"/>
      <c r="M5" s="499"/>
      <c r="N5" s="499"/>
      <c r="O5" s="499"/>
      <c r="P5" s="499"/>
      <c r="S5" s="71" t="s">
        <v>130</v>
      </c>
    </row>
    <row r="6" spans="2:30" ht="15" customHeight="1">
      <c r="B6" s="500" t="s">
        <v>131</v>
      </c>
      <c r="C6" s="501"/>
      <c r="D6" s="501"/>
      <c r="E6" s="501"/>
      <c r="F6" s="749" t="s">
        <v>132</v>
      </c>
      <c r="G6" s="749"/>
      <c r="H6" s="749"/>
      <c r="I6" s="502"/>
      <c r="J6" s="749" t="s">
        <v>133</v>
      </c>
      <c r="K6" s="749"/>
      <c r="L6" s="749"/>
      <c r="M6" s="502"/>
      <c r="N6" s="749" t="s">
        <v>134</v>
      </c>
      <c r="O6" s="749"/>
      <c r="P6" s="749"/>
      <c r="S6" s="503">
        <f t="array" ref="S6:U12">F9:H15</f>
        <v>19.010000000000002</v>
      </c>
      <c r="T6" s="71">
        <v>17.82</v>
      </c>
      <c r="U6" s="71">
        <v>15.19</v>
      </c>
      <c r="W6" s="503">
        <f t="array" ref="W6:Y12">J9:L15</f>
        <v>6.2</v>
      </c>
      <c r="X6" s="71">
        <v>5.17</v>
      </c>
      <c r="Y6" s="71">
        <v>4.4000000000000004</v>
      </c>
      <c r="AA6" s="503">
        <f t="array" ref="AA6:AC12">N9:P15</f>
        <v>10.99</v>
      </c>
      <c r="AB6" s="71">
        <v>9.01</v>
      </c>
      <c r="AC6" s="71">
        <v>7.31</v>
      </c>
    </row>
    <row r="7" spans="2:30" ht="15" customHeight="1">
      <c r="B7" s="501"/>
      <c r="C7" s="501"/>
      <c r="D7" s="501"/>
      <c r="E7" s="501"/>
      <c r="F7" s="501"/>
      <c r="G7" s="501"/>
      <c r="H7" s="501"/>
      <c r="I7" s="501"/>
      <c r="J7" s="501"/>
      <c r="K7" s="501"/>
      <c r="L7" s="501"/>
      <c r="M7" s="501"/>
      <c r="N7" s="501"/>
      <c r="O7" s="501"/>
      <c r="P7" s="501"/>
      <c r="S7" s="71">
        <v>27.29</v>
      </c>
      <c r="T7" s="71">
        <v>23.58</v>
      </c>
      <c r="U7" s="71">
        <v>18.43</v>
      </c>
      <c r="W7" s="71">
        <v>3.2</v>
      </c>
      <c r="X7" s="71">
        <v>2.83</v>
      </c>
      <c r="Y7" s="71">
        <v>2.48</v>
      </c>
      <c r="Z7" s="503"/>
      <c r="AA7" s="71">
        <v>12.41</v>
      </c>
      <c r="AB7" s="71">
        <v>9.76</v>
      </c>
      <c r="AC7" s="71">
        <v>7.7</v>
      </c>
      <c r="AD7" s="503"/>
    </row>
    <row r="8" spans="2:30" ht="15" customHeight="1">
      <c r="C8" s="504" t="s">
        <v>135</v>
      </c>
      <c r="D8" s="505"/>
      <c r="E8" s="505"/>
      <c r="F8" s="504" t="s">
        <v>136</v>
      </c>
      <c r="G8" s="504" t="s">
        <v>137</v>
      </c>
      <c r="H8" s="504" t="s">
        <v>138</v>
      </c>
      <c r="I8" s="504"/>
      <c r="J8" s="504" t="s">
        <v>136</v>
      </c>
      <c r="K8" s="504" t="s">
        <v>137</v>
      </c>
      <c r="L8" s="504" t="s">
        <v>138</v>
      </c>
      <c r="M8" s="504"/>
      <c r="N8" s="504" t="s">
        <v>136</v>
      </c>
      <c r="O8" s="504" t="s">
        <v>137</v>
      </c>
      <c r="P8" s="504" t="s">
        <v>138</v>
      </c>
      <c r="S8" s="71">
        <v>7.01</v>
      </c>
      <c r="T8" s="71">
        <v>5.91</v>
      </c>
      <c r="U8" s="71">
        <v>4.8600000000000003</v>
      </c>
      <c r="W8" s="71">
        <v>1.23</v>
      </c>
      <c r="X8" s="71">
        <v>1.1200000000000001</v>
      </c>
      <c r="Y8" s="71">
        <v>1.03</v>
      </c>
      <c r="AA8" s="71">
        <v>6.55</v>
      </c>
      <c r="AB8" s="71">
        <v>5.28</v>
      </c>
      <c r="AC8" s="71">
        <v>4.8499999999999996</v>
      </c>
    </row>
    <row r="9" spans="2:30" ht="15" customHeight="1">
      <c r="C9" s="506" t="s">
        <v>139</v>
      </c>
      <c r="D9" s="507"/>
      <c r="E9" s="507"/>
      <c r="F9" s="508">
        <f>'Multiplos base'!O8</f>
        <v>19.010000000000002</v>
      </c>
      <c r="G9" s="508">
        <f>'Multiplos base'!P8</f>
        <v>17.82</v>
      </c>
      <c r="H9" s="508">
        <f>'Multiplos base'!Q8</f>
        <v>15.19</v>
      </c>
      <c r="I9" s="509"/>
      <c r="J9" s="508">
        <f>'Multiplos base'!K8</f>
        <v>6.2</v>
      </c>
      <c r="K9" s="508">
        <f>'Multiplos base'!L8</f>
        <v>5.17</v>
      </c>
      <c r="L9" s="508">
        <f>'Multiplos base'!M8</f>
        <v>4.4000000000000004</v>
      </c>
      <c r="M9" s="509"/>
      <c r="N9" s="508">
        <f>'Multiplos base'!G8</f>
        <v>10.99</v>
      </c>
      <c r="O9" s="508">
        <f>'Multiplos base'!H8</f>
        <v>9.01</v>
      </c>
      <c r="P9" s="508">
        <f>'Multiplos base'!I8</f>
        <v>7.31</v>
      </c>
      <c r="S9" s="71">
        <v>19.100000000000001</v>
      </c>
      <c r="T9" s="71">
        <v>17.920000000000002</v>
      </c>
      <c r="U9" s="71">
        <v>14.97</v>
      </c>
      <c r="W9" s="71">
        <v>5.67</v>
      </c>
      <c r="X9" s="71">
        <v>5.09</v>
      </c>
      <c r="Y9" s="71">
        <v>4.62</v>
      </c>
      <c r="AA9" s="71">
        <v>17</v>
      </c>
      <c r="AB9" s="71">
        <v>14.44</v>
      </c>
      <c r="AC9" s="71">
        <v>12.49</v>
      </c>
    </row>
    <row r="10" spans="2:30" ht="15" customHeight="1">
      <c r="C10" s="510" t="s">
        <v>140</v>
      </c>
      <c r="D10" s="511"/>
      <c r="E10" s="511"/>
      <c r="F10" s="508">
        <f>'Multiplos base'!O9</f>
        <v>27.29</v>
      </c>
      <c r="G10" s="508">
        <f>'Multiplos base'!P9</f>
        <v>23.58</v>
      </c>
      <c r="H10" s="508">
        <f>'Multiplos base'!Q9</f>
        <v>18.43</v>
      </c>
      <c r="I10" s="512"/>
      <c r="J10" s="508">
        <f>'Multiplos base'!K9</f>
        <v>3.2</v>
      </c>
      <c r="K10" s="508">
        <f>'Multiplos base'!L9</f>
        <v>2.83</v>
      </c>
      <c r="L10" s="508">
        <f>'Multiplos base'!M9</f>
        <v>2.48</v>
      </c>
      <c r="M10" s="512"/>
      <c r="N10" s="508">
        <f>'Multiplos base'!G9</f>
        <v>12.41</v>
      </c>
      <c r="O10" s="508">
        <f>'Multiplos base'!H9</f>
        <v>9.76</v>
      </c>
      <c r="P10" s="508">
        <f>'Multiplos base'!I9</f>
        <v>7.7</v>
      </c>
      <c r="S10" s="71">
        <v>18.149999999999999</v>
      </c>
      <c r="T10" s="71">
        <v>16.61</v>
      </c>
      <c r="U10" s="71">
        <v>14.87</v>
      </c>
      <c r="W10" s="71">
        <v>4.29</v>
      </c>
      <c r="X10" s="71">
        <v>4.07</v>
      </c>
      <c r="Y10" s="71">
        <v>3.88</v>
      </c>
      <c r="AA10" s="71">
        <v>14.09</v>
      </c>
      <c r="AB10" s="71">
        <v>13</v>
      </c>
      <c r="AC10" s="71">
        <v>12.01</v>
      </c>
    </row>
    <row r="11" spans="2:30" ht="15" customHeight="1">
      <c r="C11" s="510" t="s">
        <v>141</v>
      </c>
      <c r="D11" s="511"/>
      <c r="E11" s="511"/>
      <c r="F11" s="508">
        <f>'Multiplos base'!O10</f>
        <v>7.01</v>
      </c>
      <c r="G11" s="508">
        <f>'Multiplos base'!P10</f>
        <v>5.91</v>
      </c>
      <c r="H11" s="508">
        <f>'Multiplos base'!Q10</f>
        <v>4.8600000000000003</v>
      </c>
      <c r="I11" s="512"/>
      <c r="J11" s="508">
        <f>'Multiplos base'!K10</f>
        <v>1.23</v>
      </c>
      <c r="K11" s="508">
        <f>'Multiplos base'!L10</f>
        <v>1.1200000000000001</v>
      </c>
      <c r="L11" s="508">
        <f>'Multiplos base'!M10</f>
        <v>1.03</v>
      </c>
      <c r="M11" s="512"/>
      <c r="N11" s="508">
        <f>'Multiplos base'!G10</f>
        <v>6.55</v>
      </c>
      <c r="O11" s="508">
        <f>'Multiplos base'!H10</f>
        <v>5.28</v>
      </c>
      <c r="P11" s="508">
        <f>'Multiplos base'!I10</f>
        <v>4.8499999999999996</v>
      </c>
      <c r="S11" s="71">
        <v>23.14</v>
      </c>
      <c r="T11" s="71">
        <v>20.09</v>
      </c>
      <c r="U11" s="71">
        <v>17.09</v>
      </c>
      <c r="W11" s="71">
        <v>8.8800000000000008</v>
      </c>
      <c r="X11" s="71">
        <v>7.61</v>
      </c>
      <c r="Y11" s="71">
        <v>6.41</v>
      </c>
      <c r="AA11" s="71">
        <v>14.79</v>
      </c>
      <c r="AB11" s="71">
        <v>12.3</v>
      </c>
      <c r="AC11" s="71">
        <v>9.98</v>
      </c>
    </row>
    <row r="12" spans="2:30" ht="15" customHeight="1">
      <c r="C12" s="510" t="s">
        <v>142</v>
      </c>
      <c r="D12" s="511"/>
      <c r="E12" s="511"/>
      <c r="F12" s="508">
        <f>'Multiplos base'!O11</f>
        <v>19.100000000000001</v>
      </c>
      <c r="G12" s="508">
        <f>'Multiplos base'!P11</f>
        <v>17.920000000000002</v>
      </c>
      <c r="H12" s="508">
        <f>'Multiplos base'!Q11</f>
        <v>14.97</v>
      </c>
      <c r="I12" s="512"/>
      <c r="J12" s="508">
        <f>'Multiplos base'!K11</f>
        <v>5.67</v>
      </c>
      <c r="K12" s="508">
        <f>'Multiplos base'!L11</f>
        <v>5.09</v>
      </c>
      <c r="L12" s="508">
        <f>'Multiplos base'!M11</f>
        <v>4.62</v>
      </c>
      <c r="M12" s="512"/>
      <c r="N12" s="508">
        <f>'Multiplos base'!G11</f>
        <v>17</v>
      </c>
      <c r="O12" s="508">
        <f>'Multiplos base'!H11</f>
        <v>14.44</v>
      </c>
      <c r="P12" s="508">
        <f>'Multiplos base'!I11</f>
        <v>12.49</v>
      </c>
      <c r="S12" s="71">
        <v>36.99</v>
      </c>
      <c r="T12" s="71">
        <v>33.33</v>
      </c>
      <c r="U12" s="71">
        <v>29.98</v>
      </c>
      <c r="W12" s="71">
        <v>10.050000000000001</v>
      </c>
      <c r="X12" s="71">
        <v>9.18</v>
      </c>
      <c r="Y12" s="71">
        <v>8.57</v>
      </c>
      <c r="AA12" s="71">
        <v>28.33</v>
      </c>
      <c r="AB12" s="71">
        <v>26.06</v>
      </c>
      <c r="AC12" s="71">
        <v>23.81</v>
      </c>
    </row>
    <row r="13" spans="2:30" ht="15" customHeight="1">
      <c r="C13" s="510" t="s">
        <v>143</v>
      </c>
      <c r="D13" s="511"/>
      <c r="E13" s="511"/>
      <c r="F13" s="508">
        <f>'Multiplos base'!O12</f>
        <v>18.149999999999999</v>
      </c>
      <c r="G13" s="508">
        <f>'Multiplos base'!P12</f>
        <v>16.61</v>
      </c>
      <c r="H13" s="508">
        <f>'Multiplos base'!Q12</f>
        <v>14.87</v>
      </c>
      <c r="I13" s="512"/>
      <c r="J13" s="508">
        <f>'Multiplos base'!K12</f>
        <v>4.29</v>
      </c>
      <c r="K13" s="508">
        <f>'Multiplos base'!L12</f>
        <v>4.07</v>
      </c>
      <c r="L13" s="508">
        <f>'Multiplos base'!M12</f>
        <v>3.88</v>
      </c>
      <c r="M13" s="512"/>
      <c r="N13" s="508">
        <f>'Multiplos base'!G12</f>
        <v>14.09</v>
      </c>
      <c r="O13" s="508">
        <f>'Multiplos base'!H12</f>
        <v>13</v>
      </c>
      <c r="P13" s="508">
        <f>'Multiplos base'!I12</f>
        <v>12.01</v>
      </c>
    </row>
    <row r="14" spans="2:30" ht="15" customHeight="1">
      <c r="C14" s="510" t="s">
        <v>144</v>
      </c>
      <c r="D14" s="511"/>
      <c r="E14" s="511"/>
      <c r="F14" s="508">
        <f>'Multiplos base'!O13</f>
        <v>23.14</v>
      </c>
      <c r="G14" s="508">
        <f>'Multiplos base'!P13</f>
        <v>20.09</v>
      </c>
      <c r="H14" s="508">
        <f>'Multiplos base'!Q13</f>
        <v>17.09</v>
      </c>
      <c r="I14" s="512"/>
      <c r="J14" s="508">
        <f>'Multiplos base'!K13</f>
        <v>8.8800000000000008</v>
      </c>
      <c r="K14" s="508">
        <f>'Multiplos base'!L13</f>
        <v>7.61</v>
      </c>
      <c r="L14" s="508">
        <f>'Multiplos base'!M13</f>
        <v>6.41</v>
      </c>
      <c r="M14" s="512"/>
      <c r="N14" s="508">
        <f>'Multiplos base'!G13</f>
        <v>14.79</v>
      </c>
      <c r="O14" s="508">
        <f>'Multiplos base'!H13</f>
        <v>12.3</v>
      </c>
      <c r="P14" s="508">
        <f>'Multiplos base'!I13</f>
        <v>9.98</v>
      </c>
    </row>
    <row r="15" spans="2:30" ht="15" customHeight="1">
      <c r="C15" s="513" t="s">
        <v>145</v>
      </c>
      <c r="D15" s="514"/>
      <c r="E15" s="514"/>
      <c r="F15" s="508">
        <f>'Multiplos base'!O14</f>
        <v>36.99</v>
      </c>
      <c r="G15" s="508">
        <f>'Multiplos base'!P14</f>
        <v>33.33</v>
      </c>
      <c r="H15" s="508">
        <f>'Multiplos base'!Q14</f>
        <v>29.98</v>
      </c>
      <c r="I15" s="515"/>
      <c r="J15" s="508">
        <f>'Multiplos base'!K14</f>
        <v>10.050000000000001</v>
      </c>
      <c r="K15" s="508">
        <f>'Multiplos base'!L14</f>
        <v>9.18</v>
      </c>
      <c r="L15" s="508">
        <f>'Multiplos base'!M14</f>
        <v>8.57</v>
      </c>
      <c r="M15" s="515"/>
      <c r="N15" s="508">
        <f>'Multiplos base'!G14</f>
        <v>28.33</v>
      </c>
      <c r="O15" s="508">
        <f>'Multiplos base'!H14</f>
        <v>26.06</v>
      </c>
      <c r="P15" s="508">
        <f>'Multiplos base'!I14</f>
        <v>23.81</v>
      </c>
    </row>
    <row r="16" spans="2:30" ht="15" customHeight="1"/>
    <row r="17" spans="2:22" ht="15" customHeight="1"/>
    <row r="18" spans="2:22" ht="15" customHeight="1"/>
    <row r="19" spans="2:22" ht="15" customHeight="1">
      <c r="B19" s="516" t="s">
        <v>146</v>
      </c>
      <c r="C19" s="499"/>
      <c r="D19" s="499"/>
      <c r="E19" s="499"/>
      <c r="F19" s="499"/>
      <c r="G19" s="499"/>
      <c r="H19" s="499"/>
      <c r="I19" s="499"/>
      <c r="J19" s="499"/>
      <c r="K19" s="499"/>
      <c r="L19" s="499"/>
      <c r="M19" s="499"/>
      <c r="N19" s="499"/>
      <c r="O19" s="499"/>
      <c r="P19" s="499"/>
      <c r="Q19" s="499"/>
      <c r="R19" s="517"/>
      <c r="S19" s="517"/>
    </row>
    <row r="20" spans="2:22" ht="15.75" customHeight="1">
      <c r="B20" s="517"/>
      <c r="C20" s="518"/>
      <c r="D20" s="519"/>
      <c r="E20" s="519"/>
      <c r="F20" s="520"/>
      <c r="G20" s="750" t="s">
        <v>132</v>
      </c>
      <c r="H20" s="750"/>
      <c r="I20" s="750"/>
      <c r="J20" s="521"/>
      <c r="K20" s="751" t="s">
        <v>133</v>
      </c>
      <c r="L20" s="751"/>
      <c r="M20" s="751"/>
      <c r="N20" s="521"/>
      <c r="O20" s="751" t="s">
        <v>134</v>
      </c>
      <c r="P20" s="751"/>
      <c r="Q20" s="751"/>
      <c r="R20" s="517"/>
      <c r="S20" s="517"/>
    </row>
    <row r="21" spans="2:22" ht="15.75" customHeight="1">
      <c r="B21" s="517"/>
      <c r="C21" s="522"/>
      <c r="D21" s="523"/>
      <c r="E21" s="523"/>
      <c r="F21" s="524"/>
      <c r="G21" s="525" t="s">
        <v>136</v>
      </c>
      <c r="H21" s="525" t="s">
        <v>137</v>
      </c>
      <c r="I21" s="525" t="s">
        <v>138</v>
      </c>
      <c r="J21" s="525"/>
      <c r="K21" s="525" t="s">
        <v>136</v>
      </c>
      <c r="L21" s="525" t="s">
        <v>137</v>
      </c>
      <c r="M21" s="525" t="s">
        <v>138</v>
      </c>
      <c r="N21" s="525"/>
      <c r="O21" s="525" t="s">
        <v>136</v>
      </c>
      <c r="P21" s="525" t="s">
        <v>137</v>
      </c>
      <c r="Q21" s="525" t="s">
        <v>138</v>
      </c>
      <c r="R21" s="525"/>
    </row>
    <row r="22" spans="2:22" ht="15" customHeight="1">
      <c r="B22" s="517"/>
      <c r="C22" s="526" t="s">
        <v>147</v>
      </c>
      <c r="D22" s="527"/>
      <c r="E22" s="527"/>
      <c r="F22" s="525"/>
      <c r="G22" s="528">
        <f>MIN(F9:F15)</f>
        <v>7.01</v>
      </c>
      <c r="H22" s="528">
        <f t="shared" ref="H22:Q22" si="0">MIN(G9:G15)</f>
        <v>5.91</v>
      </c>
      <c r="I22" s="528">
        <f t="shared" si="0"/>
        <v>4.8600000000000003</v>
      </c>
      <c r="J22" s="528"/>
      <c r="K22" s="528">
        <f t="shared" si="0"/>
        <v>1.23</v>
      </c>
      <c r="L22" s="528">
        <f t="shared" si="0"/>
        <v>1.1200000000000001</v>
      </c>
      <c r="M22" s="528">
        <f t="shared" si="0"/>
        <v>1.03</v>
      </c>
      <c r="N22" s="528"/>
      <c r="O22" s="528">
        <f t="shared" si="0"/>
        <v>6.55</v>
      </c>
      <c r="P22" s="528">
        <f t="shared" si="0"/>
        <v>5.28</v>
      </c>
      <c r="Q22" s="528">
        <f t="shared" si="0"/>
        <v>4.8499999999999996</v>
      </c>
      <c r="R22" s="529"/>
      <c r="T22" s="747" t="s">
        <v>148</v>
      </c>
      <c r="U22" s="747"/>
      <c r="V22" s="747"/>
    </row>
    <row r="23" spans="2:22" ht="15" customHeight="1">
      <c r="B23" s="517"/>
      <c r="C23" s="530" t="s">
        <v>149</v>
      </c>
      <c r="D23" s="527"/>
      <c r="E23" s="527"/>
      <c r="F23" s="525"/>
      <c r="G23" s="531">
        <f ca="1">G22*G$50</f>
        <v>1395781.0285933029</v>
      </c>
      <c r="H23" s="531">
        <f t="shared" ref="H23:I23" ca="1" si="1">H22*H$50</f>
        <v>1161341.1434067455</v>
      </c>
      <c r="I23" s="531">
        <f t="shared" ca="1" si="1"/>
        <v>1144853.5812965767</v>
      </c>
      <c r="J23" s="531"/>
      <c r="K23" s="590">
        <f>K22*K$50-K$52</f>
        <v>850461.35649406584</v>
      </c>
      <c r="L23" s="590">
        <f t="shared" ref="L23:M23" si="2">L22*L$50-L$52</f>
        <v>922628.54328221304</v>
      </c>
      <c r="M23" s="590">
        <f t="shared" si="2"/>
        <v>986033.65236684622</v>
      </c>
      <c r="N23" s="531"/>
      <c r="O23" s="531">
        <f>O22*O$50-O$52</f>
        <v>1672061.8084430399</v>
      </c>
      <c r="P23" s="531">
        <f t="shared" ref="P23:Q23" si="3">P22*P$50-P$52</f>
        <v>1651009.4133031135</v>
      </c>
      <c r="Q23" s="531">
        <f t="shared" si="3"/>
        <v>1811036.8672939818</v>
      </c>
      <c r="R23" s="532"/>
      <c r="T23" s="501" t="s">
        <v>150</v>
      </c>
      <c r="U23" s="501"/>
      <c r="V23" s="501" t="s">
        <v>151</v>
      </c>
    </row>
    <row r="24" spans="2:22" ht="15" customHeight="1">
      <c r="B24" s="517"/>
      <c r="C24" s="533"/>
      <c r="D24" s="527"/>
      <c r="E24" s="527"/>
      <c r="F24" s="525"/>
      <c r="G24" s="534"/>
      <c r="H24" s="535"/>
      <c r="I24" s="535"/>
      <c r="J24" s="535"/>
      <c r="K24" s="535"/>
      <c r="L24" s="535"/>
      <c r="M24" s="535"/>
      <c r="N24" s="535"/>
      <c r="O24" s="535"/>
      <c r="P24" s="535"/>
      <c r="Q24" s="536"/>
      <c r="R24" s="535"/>
      <c r="T24" s="513" t="s">
        <v>147</v>
      </c>
      <c r="U24" s="514"/>
      <c r="V24" s="537"/>
    </row>
    <row r="25" spans="2:22" ht="15" customHeight="1">
      <c r="B25" s="517"/>
      <c r="C25" s="526" t="s">
        <v>152</v>
      </c>
      <c r="D25" s="527"/>
      <c r="E25" s="527"/>
      <c r="F25" s="525"/>
      <c r="G25" s="528">
        <f>_xlfn.QUARTILE.INC(F9:F15,1)</f>
        <v>18.579999999999998</v>
      </c>
      <c r="H25" s="528">
        <f t="shared" ref="H25:Q25" si="4">_xlfn.QUARTILE.INC(G9:G15,1)</f>
        <v>17.215</v>
      </c>
      <c r="I25" s="528">
        <f t="shared" si="4"/>
        <v>14.92</v>
      </c>
      <c r="J25" s="528"/>
      <c r="K25" s="528">
        <f t="shared" si="4"/>
        <v>3.7450000000000001</v>
      </c>
      <c r="L25" s="528">
        <f t="shared" si="4"/>
        <v>3.45</v>
      </c>
      <c r="M25" s="528">
        <f t="shared" si="4"/>
        <v>3.1799999999999997</v>
      </c>
      <c r="N25" s="528"/>
      <c r="O25" s="528">
        <f t="shared" si="4"/>
        <v>11.7</v>
      </c>
      <c r="P25" s="528">
        <f t="shared" si="4"/>
        <v>9.3849999999999998</v>
      </c>
      <c r="Q25" s="528">
        <f t="shared" si="4"/>
        <v>7.5049999999999999</v>
      </c>
      <c r="R25" s="529"/>
      <c r="T25" s="513" t="s">
        <v>153</v>
      </c>
      <c r="U25" s="514"/>
      <c r="V25" s="591">
        <f ca="1">AVERAGE(G27:I27,K27:M27,O27:Q27)</f>
        <v>236.37031159282409</v>
      </c>
    </row>
    <row r="26" spans="2:22" ht="15" customHeight="1">
      <c r="B26" s="517"/>
      <c r="C26" s="530" t="s">
        <v>149</v>
      </c>
      <c r="D26" s="527"/>
      <c r="E26" s="527"/>
      <c r="F26" s="525"/>
      <c r="G26" s="531">
        <f ca="1">G25*G$50</f>
        <v>3699516.6207223348</v>
      </c>
      <c r="H26" s="531">
        <f t="shared" ref="H26" ca="1" si="5">H25*H$50</f>
        <v>3382823.6520722709</v>
      </c>
      <c r="I26" s="531">
        <f t="shared" ref="I26" ca="1" si="6">I25*I$50</f>
        <v>3514653.3812643876</v>
      </c>
      <c r="J26" s="532"/>
      <c r="K26" s="590">
        <f>K25*K$50-K$52</f>
        <v>2152348.7683498184</v>
      </c>
      <c r="L26" s="590">
        <f t="shared" ref="L26" si="7">L25*L$50-L$52</f>
        <v>2397342.8431461025</v>
      </c>
      <c r="M26" s="590">
        <f t="shared" ref="M26" si="8">M25*M$50-M$52</f>
        <v>2598075.7908024956</v>
      </c>
      <c r="N26" s="532"/>
      <c r="O26" s="531">
        <f>O25*O$50-O$52</f>
        <v>2818671.024241766</v>
      </c>
      <c r="P26" s="531">
        <f t="shared" ref="P26" si="9">P25*P$50-P$52</f>
        <v>2768421.8331154771</v>
      </c>
      <c r="Q26" s="531">
        <f t="shared" ref="Q26" si="10">Q25*Q$50-Q$52</f>
        <v>2685426.2833074918</v>
      </c>
      <c r="R26" s="532"/>
      <c r="T26" s="513" t="s">
        <v>154</v>
      </c>
      <c r="U26" s="514"/>
      <c r="V26" s="591">
        <f ca="1">AVERAGE(G32:I32,K32:M32,O32:Q32)</f>
        <v>285.39000885599978</v>
      </c>
    </row>
    <row r="27" spans="2:22" ht="15" customHeight="1">
      <c r="B27" s="517"/>
      <c r="C27" s="530" t="s">
        <v>151</v>
      </c>
      <c r="D27" s="527"/>
      <c r="E27" s="527"/>
      <c r="F27" s="525"/>
      <c r="G27" s="538">
        <f ca="1">G26/G$51</f>
        <v>302.49522655129476</v>
      </c>
      <c r="H27" s="538">
        <f ca="1">H26/H$51</f>
        <v>276.60046214818243</v>
      </c>
      <c r="I27" s="538">
        <f t="shared" ref="H27:Q27" ca="1" si="11">I26/I$51</f>
        <v>287.37967140346586</v>
      </c>
      <c r="J27" s="538"/>
      <c r="K27" s="538">
        <f t="shared" ca="1" si="11"/>
        <v>175.9892696933621</v>
      </c>
      <c r="L27" s="538">
        <f t="shared" ca="1" si="11"/>
        <v>196.02149167179905</v>
      </c>
      <c r="M27" s="538">
        <f t="shared" ca="1" si="11"/>
        <v>212.43465174182302</v>
      </c>
      <c r="N27" s="538"/>
      <c r="O27" s="538">
        <f t="shared" ca="1" si="11"/>
        <v>230.47187442696369</v>
      </c>
      <c r="P27" s="538">
        <f t="shared" ca="1" si="11"/>
        <v>226.3631915875288</v>
      </c>
      <c r="Q27" s="538">
        <f t="shared" ca="1" si="11"/>
        <v>219.57696511099687</v>
      </c>
      <c r="R27" s="532"/>
      <c r="T27" s="513" t="s">
        <v>155</v>
      </c>
      <c r="U27" s="514"/>
      <c r="V27" s="591">
        <f ca="1">AVERAGE(G36:I36,K36:M36,O36:Q36)</f>
        <v>301.52125640999043</v>
      </c>
    </row>
    <row r="28" spans="2:22" ht="15" customHeight="1">
      <c r="B28" s="517"/>
      <c r="C28" s="526"/>
      <c r="D28" s="527"/>
      <c r="E28" s="527"/>
      <c r="F28" s="525"/>
      <c r="G28" s="539"/>
      <c r="H28" s="540"/>
      <c r="I28" s="540"/>
      <c r="J28" s="540"/>
      <c r="K28" s="540"/>
      <c r="L28" s="540"/>
      <c r="M28" s="540"/>
      <c r="N28" s="540"/>
      <c r="O28" s="540"/>
      <c r="P28" s="540"/>
      <c r="Q28" s="540"/>
      <c r="R28" s="540"/>
      <c r="T28" s="513" t="s">
        <v>156</v>
      </c>
      <c r="U28" s="514"/>
      <c r="V28" s="591">
        <f ca="1">AVERAGE(G41:I41,K41:M41,O41:Q41)</f>
        <v>346.76107876306469</v>
      </c>
    </row>
    <row r="29" spans="2:22" ht="15" customHeight="1">
      <c r="B29" s="517"/>
      <c r="C29" s="526"/>
      <c r="D29" s="527"/>
      <c r="E29" s="527"/>
      <c r="F29" s="525"/>
      <c r="G29" s="541"/>
      <c r="H29" s="525"/>
      <c r="I29" s="525"/>
      <c r="J29" s="525"/>
      <c r="K29" s="525"/>
      <c r="L29" s="525"/>
      <c r="M29" s="525"/>
      <c r="N29" s="525"/>
      <c r="O29" s="525"/>
      <c r="P29" s="525"/>
      <c r="Q29" s="525"/>
      <c r="R29" s="525"/>
      <c r="T29" s="513" t="s">
        <v>157</v>
      </c>
      <c r="U29" s="514"/>
      <c r="V29" s="537"/>
    </row>
    <row r="30" spans="2:22" ht="15" customHeight="1">
      <c r="B30" s="517"/>
      <c r="C30" s="526" t="s">
        <v>154</v>
      </c>
      <c r="D30" s="527"/>
      <c r="E30" s="527"/>
      <c r="F30" s="525"/>
      <c r="G30" s="528">
        <f>_xlfn.QUARTILE.INC(F9:F15,2)</f>
        <v>19.100000000000001</v>
      </c>
      <c r="H30" s="528">
        <f t="shared" ref="H30:Q30" si="12">_xlfn.QUARTILE.INC(G9:G15,2)</f>
        <v>17.920000000000002</v>
      </c>
      <c r="I30" s="528">
        <f t="shared" si="12"/>
        <v>15.19</v>
      </c>
      <c r="J30" s="528"/>
      <c r="K30" s="528">
        <f t="shared" si="12"/>
        <v>5.67</v>
      </c>
      <c r="L30" s="528">
        <f t="shared" si="12"/>
        <v>5.09</v>
      </c>
      <c r="M30" s="528">
        <f t="shared" si="12"/>
        <v>4.4000000000000004</v>
      </c>
      <c r="N30" s="528"/>
      <c r="O30" s="528">
        <f t="shared" si="12"/>
        <v>14.09</v>
      </c>
      <c r="P30" s="528">
        <f t="shared" si="12"/>
        <v>12.3</v>
      </c>
      <c r="Q30" s="528">
        <f t="shared" si="12"/>
        <v>9.98</v>
      </c>
      <c r="R30" s="529"/>
    </row>
    <row r="31" spans="2:22" ht="15" customHeight="1">
      <c r="B31" s="517"/>
      <c r="C31" s="530" t="s">
        <v>149</v>
      </c>
      <c r="D31" s="527"/>
      <c r="E31" s="527"/>
      <c r="F31" s="525"/>
      <c r="G31" s="531">
        <f ca="1">G30*G$50</f>
        <v>3803055.2990202694</v>
      </c>
      <c r="H31" s="531">
        <f t="shared" ref="H31" ca="1" si="13">H30*H$50</f>
        <v>3521359.27070201</v>
      </c>
      <c r="I31" s="531">
        <f t="shared" ref="I31" ca="1" si="14">I30*I$50</f>
        <v>3578256.3580030859</v>
      </c>
      <c r="J31" s="532"/>
      <c r="K31" s="590">
        <f>K30*K$50-K$52</f>
        <v>3148823.2287165476</v>
      </c>
      <c r="L31" s="590">
        <f t="shared" ref="L31" si="15">L30*L$50-L$52</f>
        <v>3435339.1743807714</v>
      </c>
      <c r="M31" s="590">
        <f t="shared" ref="M31" si="16">M30*M$50-M$52</f>
        <v>3512815.9809845858</v>
      </c>
      <c r="N31" s="532"/>
      <c r="O31" s="531">
        <f>O30*O$50-O$52</f>
        <v>3350786.7573988447</v>
      </c>
      <c r="P31" s="531">
        <f t="shared" ref="P31" si="17">P30*P$50-P$52</f>
        <v>3561907.1446265713</v>
      </c>
      <c r="Q31" s="531">
        <f t="shared" ref="Q31" si="18">Q30*Q$50-Q$52</f>
        <v>3500535.0609472045</v>
      </c>
      <c r="R31" s="532"/>
    </row>
    <row r="32" spans="2:22" ht="15" customHeight="1">
      <c r="B32" s="517"/>
      <c r="C32" s="530" t="s">
        <v>151</v>
      </c>
      <c r="D32" s="527"/>
      <c r="E32" s="527"/>
      <c r="F32" s="525"/>
      <c r="G32" s="538">
        <f ca="1">G31/G$51</f>
        <v>310.96118552904903</v>
      </c>
      <c r="H32" s="538">
        <f ca="1">H31/H$51</f>
        <v>287.92798615715537</v>
      </c>
      <c r="I32" s="538">
        <f t="shared" ref="I32" ca="1" si="19">I31/I$51</f>
        <v>292.58024186452053</v>
      </c>
      <c r="J32" s="538"/>
      <c r="K32" s="538">
        <f t="shared" ref="K32" ca="1" si="20">K31/K$51</f>
        <v>257.46714870944788</v>
      </c>
      <c r="L32" s="538">
        <f t="shared" ref="L32" ca="1" si="21">L31/L$51</f>
        <v>280.8944541603247</v>
      </c>
      <c r="M32" s="538">
        <f t="shared" ref="M32" ca="1" si="22">M31/M$51</f>
        <v>287.22943425875599</v>
      </c>
      <c r="N32" s="538"/>
      <c r="O32" s="538">
        <f t="shared" ref="O32" ca="1" si="23">O31/O$51</f>
        <v>273.9809286507641</v>
      </c>
      <c r="P32" s="538">
        <f t="shared" ref="P32" ca="1" si="24">P31/P$51</f>
        <v>291.24342965057821</v>
      </c>
      <c r="Q32" s="538">
        <f t="shared" ref="Q32" ca="1" si="25">Q31/Q$51</f>
        <v>286.22527072340182</v>
      </c>
      <c r="R32" s="532"/>
    </row>
    <row r="33" spans="2:21" ht="15" customHeight="1">
      <c r="B33" s="517"/>
      <c r="C33" s="526"/>
      <c r="D33" s="527"/>
      <c r="E33" s="527"/>
      <c r="F33" s="525"/>
      <c r="G33" s="539"/>
      <c r="H33" s="540"/>
      <c r="I33" s="540"/>
      <c r="J33" s="540"/>
      <c r="K33" s="540"/>
      <c r="L33" s="540"/>
      <c r="M33" s="540"/>
      <c r="N33" s="540"/>
      <c r="O33" s="540"/>
      <c r="P33" s="540"/>
      <c r="Q33" s="540"/>
      <c r="R33" s="540"/>
      <c r="T33" s="747" t="s">
        <v>158</v>
      </c>
      <c r="U33" s="747"/>
    </row>
    <row r="34" spans="2:21" ht="15" customHeight="1">
      <c r="B34" s="517"/>
      <c r="C34" s="526" t="s">
        <v>155</v>
      </c>
      <c r="D34" s="527"/>
      <c r="E34" s="527"/>
      <c r="F34" s="525"/>
      <c r="G34" s="528">
        <f>AVERAGE(F9:F15)</f>
        <v>21.527142857142856</v>
      </c>
      <c r="H34" s="528">
        <f t="shared" ref="H34:Q34" si="26">AVERAGE(G9:G15)</f>
        <v>19.322857142857142</v>
      </c>
      <c r="I34" s="528">
        <f t="shared" si="26"/>
        <v>16.484285714285715</v>
      </c>
      <c r="J34" s="528"/>
      <c r="K34" s="528">
        <f t="shared" si="26"/>
        <v>5.645714285714285</v>
      </c>
      <c r="L34" s="528">
        <f t="shared" si="26"/>
        <v>5.01</v>
      </c>
      <c r="M34" s="528">
        <f t="shared" si="26"/>
        <v>4.484285714285714</v>
      </c>
      <c r="N34" s="528"/>
      <c r="O34" s="528">
        <f t="shared" si="26"/>
        <v>14.88</v>
      </c>
      <c r="P34" s="528">
        <f t="shared" si="26"/>
        <v>12.835714285714287</v>
      </c>
      <c r="Q34" s="528">
        <f t="shared" si="26"/>
        <v>11.164285714285715</v>
      </c>
      <c r="R34" s="529"/>
      <c r="T34" s="542" t="s">
        <v>159</v>
      </c>
      <c r="U34" s="591">
        <f ca="1">MIN(K27:M27,G27,H27,I27,O27,P27,Q27,Q32,P32,O32,M32,L32,K32,I32,H32,G32,G36,H36,I36,K36,L36,M36,O36,P36,Q36,G41,H41,I41,K41,L41,M41,O41,P41,Q41)</f>
        <v>175.9892696933621</v>
      </c>
    </row>
    <row r="35" spans="2:21" ht="15" customHeight="1">
      <c r="B35" s="517"/>
      <c r="C35" s="530" t="s">
        <v>149</v>
      </c>
      <c r="D35" s="527"/>
      <c r="E35" s="527"/>
      <c r="F35" s="525"/>
      <c r="G35" s="531">
        <f ca="1">G34*G$50</f>
        <v>4286330.6133834282</v>
      </c>
      <c r="H35" s="531">
        <f t="shared" ref="H35" ca="1" si="27">H34*H$50</f>
        <v>3797026.9049358563</v>
      </c>
      <c r="I35" s="531">
        <f t="shared" ref="I35" ca="1" si="28">I34*I$50</f>
        <v>3883146.8179251025</v>
      </c>
      <c r="J35" s="532"/>
      <c r="K35" s="590">
        <f>K34*K$50-K$52</f>
        <v>3136251.7512944806</v>
      </c>
      <c r="L35" s="590">
        <f t="shared" ref="L35" si="29">L34*L$50-L$52</f>
        <v>3384705.20700347</v>
      </c>
      <c r="M35" s="590">
        <f t="shared" ref="M35" si="30">M34*M$50-M$52</f>
        <v>3576012.3173086406</v>
      </c>
      <c r="N35" s="532"/>
      <c r="O35" s="531">
        <f>O34*O$50-O$52</f>
        <v>3526674.3846767074</v>
      </c>
      <c r="P35" s="531">
        <f t="shared" ref="P35" si="31">P34*P$50-P$52</f>
        <v>3707732.6735737217</v>
      </c>
      <c r="Q35" s="531">
        <f t="shared" ref="Q35" si="32">Q34*Q$50-Q$52</f>
        <v>3890564.0229462357</v>
      </c>
      <c r="R35" s="532"/>
      <c r="T35" s="542" t="s">
        <v>160</v>
      </c>
      <c r="U35" s="591">
        <f ca="1">MEDIAN(K27:M27,G27,H27,I27,O27,P27,Q27,Q32,P32,O32,M32,L32,K32,I32,H32,G32,G36,H36,I36,K36,L36,M36,O36,P36,Q36,G41,H41,I41,K41,L41,M41,O41,P41,Q41)</f>
        <v>291.82009247486559</v>
      </c>
    </row>
    <row r="36" spans="2:21" ht="15" customHeight="1">
      <c r="B36" s="517"/>
      <c r="C36" s="530" t="s">
        <v>151</v>
      </c>
      <c r="D36" s="527"/>
      <c r="E36" s="527"/>
      <c r="F36" s="525"/>
      <c r="G36" s="538">
        <f ca="1">G35/G$51</f>
        <v>350.47674680158855</v>
      </c>
      <c r="H36" s="538">
        <f ca="1">H35/H$51</f>
        <v>310.46826696123111</v>
      </c>
      <c r="I36" s="538">
        <f t="shared" ref="I36" ca="1" si="33">I35/I$51</f>
        <v>317.50996058259221</v>
      </c>
      <c r="J36" s="538"/>
      <c r="K36" s="538">
        <f t="shared" ref="K36" ca="1" si="34">K35/K$51</f>
        <v>256.4392274157384</v>
      </c>
      <c r="L36" s="538">
        <f t="shared" ref="L36" ca="1" si="35">L35/L$51</f>
        <v>276.75430964868929</v>
      </c>
      <c r="M36" s="538">
        <f t="shared" ref="M36" ca="1" si="36">M35/M$51</f>
        <v>292.39675529915297</v>
      </c>
      <c r="N36" s="538"/>
      <c r="O36" s="538">
        <f t="shared" ref="O36" ca="1" si="37">O35/O$51</f>
        <v>288.3625825573759</v>
      </c>
      <c r="P36" s="538">
        <f t="shared" ref="P36" ca="1" si="38">P35/P$51</f>
        <v>303.16702155140814</v>
      </c>
      <c r="Q36" s="538">
        <f t="shared" ref="Q36" ca="1" si="39">Q35/Q$51</f>
        <v>318.116436872137</v>
      </c>
      <c r="R36" s="532"/>
      <c r="T36" s="542" t="s">
        <v>161</v>
      </c>
      <c r="U36" s="591">
        <f ca="1">MAX(K27:M27,G27,H27,I27,O27,P27,Q27,Q32,P32,O32,M32,L32,K32,I32,H32,G32,G36,H36,I36,K36,L36,M36,O36,P36,Q36,G41,H41,I41,K41,L41,M41,O41,P41,Q41)</f>
        <v>410.51760696937015</v>
      </c>
    </row>
    <row r="37" spans="2:21" ht="15" customHeight="1">
      <c r="B37" s="517"/>
      <c r="C37" s="526"/>
      <c r="D37" s="527"/>
      <c r="E37" s="527"/>
      <c r="F37" s="525"/>
      <c r="G37" s="539"/>
      <c r="H37" s="540"/>
      <c r="I37" s="540"/>
      <c r="J37" s="540"/>
      <c r="K37" s="540"/>
      <c r="L37" s="540"/>
      <c r="M37" s="540"/>
      <c r="N37" s="540"/>
      <c r="O37" s="540"/>
      <c r="P37" s="540"/>
      <c r="Q37" s="540"/>
      <c r="R37" s="540"/>
    </row>
    <row r="38" spans="2:21" ht="15" customHeight="1">
      <c r="B38" s="517"/>
      <c r="C38" s="533"/>
      <c r="D38" s="527"/>
      <c r="E38" s="527"/>
      <c r="F38" s="525"/>
      <c r="G38" s="541"/>
      <c r="H38" s="525"/>
      <c r="I38" s="525"/>
      <c r="J38" s="525"/>
      <c r="K38" s="525"/>
      <c r="L38" s="525"/>
      <c r="M38" s="525"/>
      <c r="N38" s="525"/>
      <c r="O38" s="525"/>
      <c r="P38" s="525"/>
      <c r="Q38" s="525"/>
      <c r="R38" s="525"/>
    </row>
    <row r="39" spans="2:21" ht="15" customHeight="1">
      <c r="B39" s="517"/>
      <c r="C39" s="526" t="s">
        <v>162</v>
      </c>
      <c r="D39" s="527"/>
      <c r="E39" s="527"/>
      <c r="F39" s="525"/>
      <c r="G39" s="528">
        <f>_xlfn.QUARTILE.INC(F9:F15,3)</f>
        <v>25.215</v>
      </c>
      <c r="H39" s="528">
        <f t="shared" ref="H39:Q39" si="40">_xlfn.QUARTILE.INC(G9:G15,3)</f>
        <v>21.835000000000001</v>
      </c>
      <c r="I39" s="528">
        <f t="shared" si="40"/>
        <v>17.759999999999998</v>
      </c>
      <c r="J39" s="528"/>
      <c r="K39" s="528">
        <f t="shared" si="40"/>
        <v>7.5400000000000009</v>
      </c>
      <c r="L39" s="528">
        <f t="shared" si="40"/>
        <v>6.3900000000000006</v>
      </c>
      <c r="M39" s="528">
        <f t="shared" si="40"/>
        <v>5.5150000000000006</v>
      </c>
      <c r="N39" s="528"/>
      <c r="O39" s="528">
        <f t="shared" si="40"/>
        <v>15.895</v>
      </c>
      <c r="P39" s="528">
        <f t="shared" si="40"/>
        <v>13.719999999999999</v>
      </c>
      <c r="Q39" s="528">
        <f t="shared" si="40"/>
        <v>12.25</v>
      </c>
      <c r="R39" s="529"/>
    </row>
    <row r="40" spans="2:21" ht="15" customHeight="1">
      <c r="B40" s="517"/>
      <c r="C40" s="530" t="s">
        <v>149</v>
      </c>
      <c r="D40" s="527"/>
      <c r="E40" s="527"/>
      <c r="F40" s="525"/>
      <c r="G40" s="531">
        <f ca="1">G39*G$50</f>
        <v>5020630.333235397</v>
      </c>
      <c r="H40" s="531">
        <f t="shared" ref="H40" ca="1" si="41">H39*H$50</f>
        <v>4290674.0890501328</v>
      </c>
      <c r="I40" s="531">
        <f t="shared" ref="I40" ca="1" si="42">I39*I$50</f>
        <v>4183662.4699232918</v>
      </c>
      <c r="J40" s="532"/>
      <c r="K40" s="590">
        <f>K39*K$50-K$52</f>
        <v>4116826.9902156563</v>
      </c>
      <c r="L40" s="590">
        <f>L39*L$50-L$52</f>
        <v>4258141.1442619115</v>
      </c>
      <c r="M40" s="590">
        <f t="shared" ref="M40" si="43">M39*M$50-M$52</f>
        <v>4348828.5318477247</v>
      </c>
      <c r="N40" s="532"/>
      <c r="O40" s="531">
        <f>O39*O$50-O$52</f>
        <v>3752656.5893438347</v>
      </c>
      <c r="P40" s="531">
        <f t="shared" ref="P40" si="44">P39*P$50-P$52</f>
        <v>3948442.0133558172</v>
      </c>
      <c r="Q40" s="531">
        <f t="shared" ref="Q40" si="45">Q39*Q$50-Q$52</f>
        <v>4248129.7782167587</v>
      </c>
      <c r="R40" s="532"/>
    </row>
    <row r="41" spans="2:21" ht="15" customHeight="1">
      <c r="B41" s="517"/>
      <c r="C41" s="530" t="s">
        <v>151</v>
      </c>
      <c r="D41" s="527"/>
      <c r="E41" s="527"/>
      <c r="F41" s="525"/>
      <c r="G41" s="538">
        <f ca="1">G40/G$51</f>
        <v>410.51760696937015</v>
      </c>
      <c r="H41" s="538">
        <f ca="1">H40/H$51</f>
        <v>350.831896079324</v>
      </c>
      <c r="I41" s="538">
        <f t="shared" ref="I41" ca="1" si="46">I40/I$51</f>
        <v>342.08196810492984</v>
      </c>
      <c r="J41" s="538"/>
      <c r="K41" s="538">
        <f t="shared" ref="K41" ca="1" si="47">K40/K$51</f>
        <v>336.61708832507412</v>
      </c>
      <c r="L41" s="538">
        <f t="shared" ref="L41" ca="1" si="48">L40/L$51</f>
        <v>348.17180247439995</v>
      </c>
      <c r="M41" s="538">
        <f t="shared" ref="M41" ca="1" si="49">M40/M$51</f>
        <v>355.5869609033299</v>
      </c>
      <c r="N41" s="538"/>
      <c r="O41" s="538">
        <f t="shared" ref="O41" ca="1" si="50">O40/O$51</f>
        <v>306.84027713359239</v>
      </c>
      <c r="P41" s="538">
        <f t="shared" ref="P41" ca="1" si="51">P40/P$51</f>
        <v>322.84889724904474</v>
      </c>
      <c r="Q41" s="538">
        <f t="shared" ref="Q41" ca="1" si="52">Q40/Q$51</f>
        <v>347.35321162851665</v>
      </c>
      <c r="R41" s="532"/>
    </row>
    <row r="42" spans="2:21" ht="15" customHeight="1">
      <c r="B42" s="517"/>
      <c r="C42" s="526"/>
      <c r="D42" s="527"/>
      <c r="E42" s="527"/>
      <c r="F42" s="525"/>
      <c r="G42" s="539"/>
      <c r="H42" s="540"/>
      <c r="I42" s="540"/>
      <c r="J42" s="540"/>
      <c r="K42" s="540"/>
      <c r="L42" s="540"/>
      <c r="M42" s="540"/>
      <c r="N42" s="540"/>
      <c r="O42" s="540"/>
      <c r="P42" s="540"/>
      <c r="Q42" s="540"/>
      <c r="R42" s="540"/>
    </row>
    <row r="43" spans="2:21">
      <c r="B43" s="517"/>
      <c r="C43" s="533"/>
      <c r="D43" s="527"/>
      <c r="E43" s="527"/>
      <c r="F43" s="525"/>
      <c r="G43" s="541"/>
      <c r="H43" s="525"/>
      <c r="I43" s="525"/>
      <c r="J43" s="525"/>
      <c r="K43" s="525"/>
      <c r="L43" s="525"/>
      <c r="M43" s="525"/>
      <c r="N43" s="525"/>
      <c r="O43" s="525"/>
      <c r="P43" s="525"/>
      <c r="Q43" s="543"/>
      <c r="R43" s="525"/>
    </row>
    <row r="44" spans="2:21">
      <c r="B44" s="517"/>
      <c r="C44" s="526" t="s">
        <v>157</v>
      </c>
      <c r="D44" s="527"/>
      <c r="E44" s="527"/>
      <c r="F44" s="525"/>
      <c r="G44" s="528">
        <f>MAX(F9:F15)</f>
        <v>36.99</v>
      </c>
      <c r="H44" s="528">
        <f t="shared" ref="H44:Q44" si="53">MAX(G9:G15)</f>
        <v>33.33</v>
      </c>
      <c r="I44" s="528">
        <f t="shared" si="53"/>
        <v>29.98</v>
      </c>
      <c r="J44" s="528"/>
      <c r="K44" s="528">
        <f t="shared" si="53"/>
        <v>10.050000000000001</v>
      </c>
      <c r="L44" s="528">
        <f t="shared" si="53"/>
        <v>9.18</v>
      </c>
      <c r="M44" s="528">
        <f t="shared" si="53"/>
        <v>8.57</v>
      </c>
      <c r="N44" s="528"/>
      <c r="O44" s="528">
        <f t="shared" si="53"/>
        <v>28.33</v>
      </c>
      <c r="P44" s="528">
        <f t="shared" si="53"/>
        <v>26.06</v>
      </c>
      <c r="Q44" s="528">
        <f t="shared" si="53"/>
        <v>23.81</v>
      </c>
      <c r="R44" s="529"/>
    </row>
    <row r="45" spans="2:21">
      <c r="B45" s="517"/>
      <c r="C45" s="544" t="s">
        <v>149</v>
      </c>
      <c r="D45" s="523"/>
      <c r="E45" s="523"/>
      <c r="F45" s="524"/>
      <c r="G45" s="531">
        <f ca="1">G44*G$50</f>
        <v>7365184.0581549611</v>
      </c>
      <c r="H45" s="531">
        <f ca="1">H44*H$50</f>
        <v>6549492.4381974321</v>
      </c>
      <c r="I45" s="531">
        <f t="shared" ref="I45" ca="1" si="54">I44*I$50</f>
        <v>7062286.083800693</v>
      </c>
      <c r="J45" s="545"/>
      <c r="K45" s="590">
        <f>K44*K$50-K$52</f>
        <v>5416126.1567198066</v>
      </c>
      <c r="L45" s="590">
        <f>L44*L$50-L$52</f>
        <v>6024000.756545281</v>
      </c>
      <c r="M45" s="590">
        <f t="shared" ref="M45" si="55">M44*M$50-M$52</f>
        <v>6639427.9425086137</v>
      </c>
      <c r="N45" s="545"/>
      <c r="O45" s="531">
        <f>O44*O$50-O$52</f>
        <v>6521216.8997238651</v>
      </c>
      <c r="P45" s="531">
        <f t="shared" ref="P45" si="56">P44*P$50-P$52</f>
        <v>7307484.4641437754</v>
      </c>
      <c r="Q45" s="531">
        <f t="shared" ref="Q45" si="57">Q44*Q$50-Q$52</f>
        <v>8055264.1093339603</v>
      </c>
      <c r="R45" s="532"/>
    </row>
    <row r="48" spans="2:21" ht="15" customHeight="1">
      <c r="B48" s="546" t="s">
        <v>163</v>
      </c>
      <c r="C48" s="500"/>
      <c r="D48" s="500"/>
      <c r="E48" s="500"/>
      <c r="F48" s="500"/>
      <c r="G48" s="748" t="s">
        <v>132</v>
      </c>
      <c r="H48" s="748"/>
      <c r="I48" s="748"/>
      <c r="J48" s="500"/>
      <c r="K48" s="748" t="s">
        <v>164</v>
      </c>
      <c r="L48" s="748"/>
      <c r="M48" s="748"/>
      <c r="N48" s="500"/>
      <c r="O48" s="748" t="s">
        <v>134</v>
      </c>
      <c r="P48" s="748"/>
      <c r="Q48" s="748"/>
    </row>
    <row r="49" spans="2:17">
      <c r="G49" s="71" t="s">
        <v>136</v>
      </c>
      <c r="H49" s="71" t="s">
        <v>137</v>
      </c>
      <c r="I49" s="71" t="s">
        <v>138</v>
      </c>
      <c r="K49" s="71" t="s">
        <v>136</v>
      </c>
      <c r="L49" s="71" t="s">
        <v>137</v>
      </c>
      <c r="M49" s="71" t="s">
        <v>138</v>
      </c>
      <c r="O49" s="71" t="s">
        <v>136</v>
      </c>
      <c r="P49" s="71" t="s">
        <v>137</v>
      </c>
      <c r="Q49" s="71" t="s">
        <v>138</v>
      </c>
    </row>
    <row r="50" spans="2:17">
      <c r="B50" s="547" t="s">
        <v>165</v>
      </c>
      <c r="C50" s="548"/>
      <c r="D50" s="548"/>
      <c r="E50" s="549"/>
      <c r="F50" s="550"/>
      <c r="G50" s="551">
        <f ca="1">'Income Statement'!AD29</f>
        <v>199112.84288064236</v>
      </c>
      <c r="H50" s="551">
        <f ca="1">'Income Statement'!AE29</f>
        <v>196504.42358828179</v>
      </c>
      <c r="I50" s="551">
        <f ca="1">'Income Statement'!AF29</f>
        <v>235566.58051369889</v>
      </c>
      <c r="J50" s="551"/>
      <c r="K50" s="551">
        <f>'Income Statement'!AD6</f>
        <v>517649.07032037876</v>
      </c>
      <c r="L50" s="551">
        <f>'Income Statement'!AE6</f>
        <v>632924.59221626155</v>
      </c>
      <c r="M50" s="551">
        <f>'Income Statement'!AF6</f>
        <v>749787.04113286035</v>
      </c>
      <c r="N50" s="551"/>
      <c r="O50" s="551">
        <f>'Income Statement'!AD43</f>
        <v>222642.56617450991</v>
      </c>
      <c r="P50" s="551">
        <f>'Income Statement'!AE43</f>
        <v>272207.65403468057</v>
      </c>
      <c r="Q50" s="551">
        <f>'Income Statement'!AF43</f>
        <v>329336.87985442928</v>
      </c>
    </row>
    <row r="51" spans="2:17">
      <c r="B51" s="547" t="s">
        <v>166</v>
      </c>
      <c r="C51" s="548"/>
      <c r="D51" s="548"/>
      <c r="E51" s="549"/>
      <c r="F51" s="550"/>
      <c r="G51" s="551">
        <f ca="1">DCF!$G$5</f>
        <v>12230</v>
      </c>
      <c r="H51" s="551">
        <f ca="1">DCF!$G$5</f>
        <v>12230</v>
      </c>
      <c r="I51" s="551">
        <f ca="1">DCF!$G$5</f>
        <v>12230</v>
      </c>
      <c r="J51" s="551"/>
      <c r="K51" s="551">
        <f ca="1">DCF!$G$5</f>
        <v>12230</v>
      </c>
      <c r="L51" s="551">
        <f ca="1">DCF!$G$5</f>
        <v>12230</v>
      </c>
      <c r="M51" s="551">
        <f ca="1">DCF!$G$5</f>
        <v>12230</v>
      </c>
      <c r="N51" s="551"/>
      <c r="O51" s="551">
        <f ca="1">DCF!$G$5</f>
        <v>12230</v>
      </c>
      <c r="P51" s="551">
        <f ca="1">DCF!$G$5</f>
        <v>12230</v>
      </c>
      <c r="Q51" s="551">
        <f ca="1">DCF!$G$5</f>
        <v>12230</v>
      </c>
    </row>
    <row r="52" spans="2:17">
      <c r="B52" s="547" t="s">
        <v>167</v>
      </c>
      <c r="C52" s="548"/>
      <c r="D52" s="548"/>
      <c r="E52" s="549"/>
      <c r="F52" s="550"/>
      <c r="G52" s="551">
        <f>DCF!$G$6</f>
        <v>-213753</v>
      </c>
      <c r="H52" s="551">
        <f>DCF!$G$6</f>
        <v>-213753</v>
      </c>
      <c r="I52" s="551">
        <f>DCF!$G$6</f>
        <v>-213753</v>
      </c>
      <c r="J52" s="551"/>
      <c r="K52" s="551">
        <f>DCF!$G$6</f>
        <v>-213753</v>
      </c>
      <c r="L52" s="551">
        <f>DCF!$G$6</f>
        <v>-213753</v>
      </c>
      <c r="M52" s="551">
        <f>DCF!$G$6</f>
        <v>-213753</v>
      </c>
      <c r="N52" s="551"/>
      <c r="O52" s="551">
        <f>DCF!$G$6</f>
        <v>-213753</v>
      </c>
      <c r="P52" s="551">
        <f>DCF!$G$6</f>
        <v>-213753</v>
      </c>
      <c r="Q52" s="551">
        <f>DCF!$G$6</f>
        <v>-213753</v>
      </c>
    </row>
  </sheetData>
  <mergeCells count="11">
    <mergeCell ref="F6:H6"/>
    <mergeCell ref="J6:L6"/>
    <mergeCell ref="N6:P6"/>
    <mergeCell ref="G20:I20"/>
    <mergeCell ref="K20:M20"/>
    <mergeCell ref="O20:Q20"/>
    <mergeCell ref="T22:V22"/>
    <mergeCell ref="T33:U33"/>
    <mergeCell ref="G48:I48"/>
    <mergeCell ref="K48:M48"/>
    <mergeCell ref="O48:Q48"/>
  </mergeCells>
  <pageMargins left="0.75" right="0.75" top="1" bottom="1" header="0.511811023622047" footer="0.511811023622047"/>
  <pageSetup paperSize="9"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C1B23"/>
  </sheetPr>
  <dimension ref="A1:AO50"/>
  <sheetViews>
    <sheetView showGridLines="0" zoomScale="85" zoomScaleNormal="85" workbookViewId="0">
      <pane xSplit="3" ySplit="5" topLeftCell="O6" activePane="bottomRight" state="frozen"/>
      <selection pane="bottomRight" activeCell="E18" sqref="E18"/>
      <selection pane="bottomLeft" activeCell="A51" sqref="A51"/>
      <selection pane="topRight" activeCell="D1" sqref="D1"/>
    </sheetView>
  </sheetViews>
  <sheetFormatPr defaultColWidth="9" defaultRowHeight="15"/>
  <cols>
    <col min="1" max="1" width="2" style="278" customWidth="1"/>
    <col min="2" max="2" width="9" style="278"/>
    <col min="3" max="3" width="19.625" style="278" customWidth="1"/>
    <col min="4" max="13" width="10" style="278" customWidth="1"/>
    <col min="14" max="14" width="12.5" style="278" customWidth="1"/>
    <col min="15" max="20" width="10" style="278" customWidth="1"/>
    <col min="21" max="22" width="11.125" style="278" customWidth="1"/>
    <col min="23" max="28" width="9" style="278"/>
    <col min="29" max="29" width="8.625" style="278" customWidth="1"/>
    <col min="30" max="16384" width="9" style="278"/>
  </cols>
  <sheetData>
    <row r="1" spans="1:41" ht="15.75" customHeight="1">
      <c r="N1" s="72" t="s">
        <v>50</v>
      </c>
    </row>
    <row r="2" spans="1:41" ht="15" customHeight="1">
      <c r="N2" s="73" t="s">
        <v>51</v>
      </c>
    </row>
    <row r="3" spans="1:41" ht="15" customHeight="1">
      <c r="N3" s="74" t="s">
        <v>52</v>
      </c>
    </row>
    <row r="4" spans="1:41" ht="10.5" customHeight="1"/>
    <row r="5" spans="1:41" ht="25.5" customHeight="1">
      <c r="A5" s="752" t="s">
        <v>168</v>
      </c>
      <c r="B5" s="752"/>
      <c r="C5" s="752"/>
      <c r="D5" s="345">
        <v>2020</v>
      </c>
      <c r="E5" s="345">
        <v>2021</v>
      </c>
      <c r="F5" s="345">
        <v>2022</v>
      </c>
      <c r="G5" s="280" t="s">
        <v>26</v>
      </c>
      <c r="H5" s="280" t="s">
        <v>27</v>
      </c>
      <c r="I5" s="280" t="s">
        <v>28</v>
      </c>
      <c r="J5" s="280" t="s">
        <v>29</v>
      </c>
      <c r="K5" s="345">
        <v>2023</v>
      </c>
      <c r="L5" s="280" t="s">
        <v>30</v>
      </c>
      <c r="M5" s="280" t="s">
        <v>31</v>
      </c>
      <c r="N5" s="280" t="s">
        <v>32</v>
      </c>
      <c r="O5" s="280" t="s">
        <v>33</v>
      </c>
      <c r="P5" s="345">
        <v>2024</v>
      </c>
      <c r="Q5" s="280" t="s">
        <v>34</v>
      </c>
      <c r="R5" s="280" t="s">
        <v>35</v>
      </c>
      <c r="S5" s="280" t="s">
        <v>36</v>
      </c>
      <c r="T5" s="280" t="s">
        <v>37</v>
      </c>
      <c r="U5" s="345">
        <v>2025</v>
      </c>
      <c r="V5" s="280" t="s">
        <v>38</v>
      </c>
      <c r="W5" s="346">
        <v>2026</v>
      </c>
      <c r="X5" s="346">
        <v>2027</v>
      </c>
      <c r="Y5" s="346">
        <v>2028</v>
      </c>
      <c r="Z5" s="346">
        <v>2029</v>
      </c>
      <c r="AA5" s="346">
        <v>2030</v>
      </c>
      <c r="AC5" s="282"/>
      <c r="AD5" s="283"/>
      <c r="AE5" s="283"/>
      <c r="AF5" s="283"/>
      <c r="AG5" s="284"/>
      <c r="AH5" s="283"/>
      <c r="AI5" s="283"/>
      <c r="AK5" s="285"/>
      <c r="AO5" s="285"/>
    </row>
    <row r="6" spans="1:41" ht="19.5" customHeight="1">
      <c r="A6" s="286"/>
      <c r="B6" s="287"/>
      <c r="C6" s="287"/>
      <c r="D6" s="288"/>
      <c r="E6" s="288"/>
      <c r="F6" s="288"/>
      <c r="G6" s="289"/>
      <c r="H6" s="289"/>
      <c r="I6" s="289"/>
      <c r="J6" s="289"/>
      <c r="K6" s="288"/>
      <c r="L6" s="289"/>
      <c r="M6" s="289"/>
      <c r="N6" s="289"/>
      <c r="O6" s="289"/>
      <c r="P6" s="288"/>
      <c r="Q6" s="289"/>
      <c r="R6" s="289"/>
      <c r="S6" s="289"/>
      <c r="T6" s="289"/>
      <c r="U6" s="288"/>
      <c r="V6" s="289"/>
      <c r="W6" s="290"/>
      <c r="X6" s="290"/>
      <c r="Y6" s="290"/>
      <c r="Z6" s="290"/>
      <c r="AA6" s="290"/>
      <c r="AC6" s="291"/>
      <c r="AD6" s="291"/>
      <c r="AE6" s="291"/>
      <c r="AF6" s="291"/>
      <c r="AG6" s="291"/>
      <c r="AH6" s="291"/>
      <c r="AI6" s="291"/>
      <c r="AJ6" s="292"/>
      <c r="AK6" s="292"/>
      <c r="AL6" s="292"/>
      <c r="AM6" s="292"/>
      <c r="AN6" s="292"/>
      <c r="AO6" s="292"/>
    </row>
    <row r="7" spans="1:41" ht="19.5" customHeight="1">
      <c r="A7" s="293" t="s">
        <v>169</v>
      </c>
      <c r="B7" s="294"/>
      <c r="C7" s="294"/>
      <c r="D7" s="347"/>
      <c r="E7" s="347"/>
      <c r="F7" s="347"/>
      <c r="G7" s="330"/>
      <c r="H7" s="330"/>
      <c r="I7" s="330"/>
      <c r="J7" s="330"/>
      <c r="K7" s="348"/>
      <c r="L7" s="349"/>
      <c r="M7" s="349"/>
      <c r="N7" s="349"/>
      <c r="O7" s="349"/>
      <c r="P7" s="348"/>
      <c r="Q7" s="349"/>
      <c r="R7" s="349"/>
      <c r="S7" s="349"/>
      <c r="T7" s="349"/>
      <c r="U7" s="348"/>
      <c r="V7" s="349"/>
      <c r="W7" s="335"/>
      <c r="X7" s="335"/>
      <c r="Y7" s="335"/>
      <c r="Z7" s="335"/>
      <c r="AA7" s="335"/>
      <c r="AC7" s="308"/>
      <c r="AD7" s="350"/>
      <c r="AE7" s="308"/>
      <c r="AF7" s="308"/>
      <c r="AG7" s="308"/>
      <c r="AH7" s="308"/>
      <c r="AI7" s="308"/>
    </row>
    <row r="8" spans="1:41" ht="19.5" customHeight="1">
      <c r="A8" s="351" t="s">
        <v>78</v>
      </c>
      <c r="B8" s="299"/>
      <c r="C8" s="299"/>
      <c r="D8" s="352">
        <v>40269</v>
      </c>
      <c r="E8" s="352">
        <v>76033</v>
      </c>
      <c r="F8" s="352">
        <v>59972</v>
      </c>
      <c r="G8" s="353">
        <f>'Q - CFS Historical'!C6</f>
        <v>15051</v>
      </c>
      <c r="H8" s="353">
        <f>'Q - CFS Historical'!D6</f>
        <v>18368</v>
      </c>
      <c r="I8" s="353">
        <f>'Q - CFS Historical'!E6</f>
        <v>19689</v>
      </c>
      <c r="J8" s="353">
        <f>'Q - CFS Historical'!F6</f>
        <v>20687</v>
      </c>
      <c r="K8" s="352">
        <v>73795</v>
      </c>
      <c r="L8" s="353">
        <f>'Q - CFS Historical'!H6</f>
        <v>23662</v>
      </c>
      <c r="M8" s="353">
        <f>'Q - CFS Historical'!I6</f>
        <v>23619</v>
      </c>
      <c r="N8" s="353">
        <f>'Q - CFS Historical'!J6</f>
        <v>26301</v>
      </c>
      <c r="O8" s="353">
        <f>'Q - CFS Historical'!K6</f>
        <v>26536</v>
      </c>
      <c r="P8" s="352">
        <v>100118</v>
      </c>
      <c r="Q8" s="353">
        <f>'Q - CFS Historical'!M6</f>
        <v>34540</v>
      </c>
      <c r="R8" s="353">
        <f>'Q - CFS Historical'!N6</f>
        <v>28196</v>
      </c>
      <c r="S8" s="353">
        <f>'Q - CFS Historical'!O6</f>
        <v>34979</v>
      </c>
      <c r="T8" s="353">
        <f>'Q - CFS Historical'!P6</f>
        <v>34455</v>
      </c>
      <c r="U8" s="352">
        <v>132170</v>
      </c>
      <c r="V8" s="353">
        <f>'Q - CFS Historical'!R6</f>
        <v>62578</v>
      </c>
      <c r="W8" s="354"/>
      <c r="X8" s="354"/>
      <c r="Y8" s="354"/>
      <c r="Z8" s="354"/>
      <c r="AA8" s="354"/>
      <c r="AC8" s="315"/>
      <c r="AD8" s="315"/>
      <c r="AE8" s="315"/>
      <c r="AF8" s="315"/>
      <c r="AG8" s="315"/>
      <c r="AH8" s="315"/>
      <c r="AI8" s="315"/>
      <c r="AJ8" s="305"/>
      <c r="AK8" s="306"/>
      <c r="AL8" s="306"/>
      <c r="AM8" s="306"/>
      <c r="AN8" s="306"/>
      <c r="AO8" s="306"/>
    </row>
    <row r="9" spans="1:41" ht="19.5" customHeight="1">
      <c r="A9" s="331" t="s">
        <v>170</v>
      </c>
      <c r="B9" s="308"/>
      <c r="C9" s="308"/>
      <c r="D9" s="313">
        <f t="shared" ref="D9:V9" si="0">SUM(D10:D14)</f>
        <v>23028</v>
      </c>
      <c r="E9" s="313">
        <f t="shared" si="0"/>
        <v>17142</v>
      </c>
      <c r="F9" s="313">
        <f t="shared" si="0"/>
        <v>33758</v>
      </c>
      <c r="G9" s="314">
        <f t="shared" si="0"/>
        <v>7085</v>
      </c>
      <c r="H9" s="314">
        <f t="shared" si="0"/>
        <v>7362</v>
      </c>
      <c r="I9" s="314">
        <f t="shared" si="0"/>
        <v>8850</v>
      </c>
      <c r="J9" s="314">
        <f t="shared" si="0"/>
        <v>8499</v>
      </c>
      <c r="K9" s="313">
        <f t="shared" si="0"/>
        <v>31796</v>
      </c>
      <c r="L9" s="314">
        <f t="shared" si="0"/>
        <v>7649</v>
      </c>
      <c r="M9" s="314">
        <f t="shared" si="0"/>
        <v>8291</v>
      </c>
      <c r="N9" s="314">
        <f t="shared" si="0"/>
        <v>8186</v>
      </c>
      <c r="O9" s="314">
        <f t="shared" si="0"/>
        <v>9461</v>
      </c>
      <c r="P9" s="313">
        <f t="shared" si="0"/>
        <v>33587</v>
      </c>
      <c r="Q9" s="314">
        <f t="shared" si="0"/>
        <v>-628</v>
      </c>
      <c r="R9" s="314">
        <f t="shared" si="0"/>
        <v>9661</v>
      </c>
      <c r="S9" s="314">
        <f t="shared" si="0"/>
        <v>9652</v>
      </c>
      <c r="T9" s="314">
        <f t="shared" si="0"/>
        <v>13240</v>
      </c>
      <c r="U9" s="313">
        <f t="shared" si="0"/>
        <v>31925</v>
      </c>
      <c r="V9" s="314">
        <f t="shared" si="0"/>
        <v>-15386</v>
      </c>
      <c r="W9" s="328"/>
      <c r="X9" s="328"/>
      <c r="Y9" s="328"/>
      <c r="Z9" s="328"/>
      <c r="AA9" s="328"/>
      <c r="AC9" s="315"/>
      <c r="AD9" s="315"/>
      <c r="AE9" s="315"/>
      <c r="AF9" s="315"/>
      <c r="AG9" s="315"/>
      <c r="AH9" s="315"/>
      <c r="AI9" s="315"/>
      <c r="AJ9" s="315"/>
      <c r="AK9" s="314"/>
      <c r="AL9" s="314"/>
      <c r="AM9" s="314"/>
      <c r="AN9" s="314"/>
      <c r="AO9" s="314"/>
    </row>
    <row r="10" spans="1:41" ht="19.5" customHeight="1">
      <c r="A10" s="355" t="s">
        <v>171</v>
      </c>
      <c r="B10" s="308"/>
      <c r="C10" s="308"/>
      <c r="D10" s="313">
        <f>12905+792</f>
        <v>13697</v>
      </c>
      <c r="E10" s="313">
        <f>11555+886</f>
        <v>12441</v>
      </c>
      <c r="F10" s="313">
        <f>15287+641</f>
        <v>15928</v>
      </c>
      <c r="G10" s="314">
        <f>'Q - CFS Historical'!C8</f>
        <v>3186</v>
      </c>
      <c r="H10" s="314">
        <f>'Q - CFS Historical'!D8</f>
        <v>3397</v>
      </c>
      <c r="I10" s="314">
        <f>'Q - CFS Historical'!E8</f>
        <v>3800</v>
      </c>
      <c r="J10" s="314">
        <f>'Q - CFS Historical'!F8</f>
        <v>1563</v>
      </c>
      <c r="K10" s="313">
        <v>11946</v>
      </c>
      <c r="L10" s="314">
        <f>'Q - CFS Historical'!H8</f>
        <v>3413</v>
      </c>
      <c r="M10" s="314">
        <f>'Q - CFS Historical'!I8</f>
        <v>3708</v>
      </c>
      <c r="N10" s="314">
        <f>'Q - CFS Historical'!J8</f>
        <v>3985</v>
      </c>
      <c r="O10" s="314">
        <f>'Q - CFS Historical'!K8</f>
        <v>4205</v>
      </c>
      <c r="P10" s="313">
        <v>15311</v>
      </c>
      <c r="Q10" s="314">
        <f>'Q - CFS Historical'!M8</f>
        <v>4487</v>
      </c>
      <c r="R10" s="314">
        <f>'Q - CFS Historical'!N8</f>
        <v>4998</v>
      </c>
      <c r="S10" s="314">
        <f>'Q - CFS Historical'!O8</f>
        <v>5611</v>
      </c>
      <c r="T10" s="314">
        <f>'Q - CFS Historical'!P8</f>
        <v>6040</v>
      </c>
      <c r="U10" s="313">
        <v>21136</v>
      </c>
      <c r="V10" s="314">
        <f>'Q - CFS Historical'!R8</f>
        <v>6482</v>
      </c>
      <c r="W10" s="328"/>
      <c r="X10" s="328"/>
      <c r="Y10" s="328"/>
      <c r="Z10" s="328"/>
      <c r="AA10" s="328"/>
      <c r="AC10" s="315"/>
      <c r="AD10" s="315"/>
      <c r="AE10" s="315"/>
      <c r="AF10" s="315"/>
      <c r="AG10" s="315"/>
      <c r="AH10" s="315"/>
      <c r="AI10" s="315"/>
      <c r="AJ10" s="305"/>
      <c r="AK10" s="306"/>
      <c r="AL10" s="306"/>
      <c r="AM10" s="306"/>
      <c r="AN10" s="306"/>
      <c r="AO10" s="306"/>
    </row>
    <row r="11" spans="1:41" ht="19.5" customHeight="1">
      <c r="A11" s="355" t="s">
        <v>172</v>
      </c>
      <c r="B11" s="308"/>
      <c r="C11" s="308"/>
      <c r="D11" s="313">
        <v>12991</v>
      </c>
      <c r="E11" s="313">
        <v>15376</v>
      </c>
      <c r="F11" s="313">
        <v>19362</v>
      </c>
      <c r="G11" s="314">
        <f>'Q - CFS Historical'!C9</f>
        <v>5284</v>
      </c>
      <c r="H11" s="314">
        <f>'Q - CFS Historical'!D9</f>
        <v>5774</v>
      </c>
      <c r="I11" s="314">
        <f>'Q - CFS Historical'!E9</f>
        <v>5743</v>
      </c>
      <c r="J11" s="314">
        <f>'Q - CFS Historical'!F9</f>
        <v>5659</v>
      </c>
      <c r="K11" s="313">
        <v>22460</v>
      </c>
      <c r="L11" s="314">
        <f>'Q - CFS Historical'!H9</f>
        <v>5264</v>
      </c>
      <c r="M11" s="314">
        <f>'Q - CFS Historical'!I9</f>
        <v>5865</v>
      </c>
      <c r="N11" s="314">
        <f>'Q - CFS Historical'!J9</f>
        <v>5846</v>
      </c>
      <c r="O11" s="314">
        <f>'Q - CFS Historical'!K9</f>
        <v>5810</v>
      </c>
      <c r="P11" s="313">
        <v>22785</v>
      </c>
      <c r="Q11" s="314">
        <f>'Q - CFS Historical'!M9</f>
        <v>5516</v>
      </c>
      <c r="R11" s="314">
        <f>'Q - CFS Historical'!N9</f>
        <v>5998</v>
      </c>
      <c r="S11" s="314">
        <f>'Q - CFS Historical'!O9</f>
        <v>6368</v>
      </c>
      <c r="T11" s="314">
        <f>'Q - CFS Historical'!P9</f>
        <v>7071</v>
      </c>
      <c r="U11" s="313">
        <v>24953</v>
      </c>
      <c r="V11" s="314">
        <f>'Q - CFS Historical'!R9</f>
        <v>6751</v>
      </c>
      <c r="W11" s="328"/>
      <c r="X11" s="328"/>
      <c r="Y11" s="328"/>
      <c r="Z11" s="328"/>
      <c r="AA11" s="328"/>
      <c r="AC11" s="315"/>
      <c r="AD11" s="315"/>
      <c r="AE11" s="315"/>
      <c r="AF11" s="315"/>
      <c r="AG11" s="315"/>
      <c r="AH11" s="315"/>
      <c r="AI11" s="315"/>
      <c r="AJ11" s="305"/>
      <c r="AK11" s="306"/>
      <c r="AL11" s="306"/>
      <c r="AM11" s="306"/>
      <c r="AN11" s="306"/>
      <c r="AO11" s="306"/>
    </row>
    <row r="12" spans="1:41" ht="19.5" customHeight="1">
      <c r="A12" s="355" t="s">
        <v>173</v>
      </c>
      <c r="B12" s="317"/>
      <c r="C12" s="308"/>
      <c r="D12" s="313">
        <v>1390</v>
      </c>
      <c r="E12" s="313">
        <v>1808</v>
      </c>
      <c r="F12" s="313">
        <v>-8081</v>
      </c>
      <c r="G12" s="314">
        <f>'Q - CFS Historical'!C10</f>
        <v>-1854</v>
      </c>
      <c r="H12" s="314">
        <f>'Q - CFS Historical'!D10</f>
        <v>-2415</v>
      </c>
      <c r="I12" s="314">
        <f>'Q - CFS Historical'!E10</f>
        <v>-1824</v>
      </c>
      <c r="J12" s="314">
        <f>'Q - CFS Historical'!F10</f>
        <v>-1670</v>
      </c>
      <c r="K12" s="313">
        <v>-7763</v>
      </c>
      <c r="L12" s="314">
        <f>'Q - CFS Historical'!H10</f>
        <v>419</v>
      </c>
      <c r="M12" s="314">
        <f>'Q - CFS Historical'!I10</f>
        <v>-3157</v>
      </c>
      <c r="N12" s="314">
        <f>'Q - CFS Historical'!J10</f>
        <v>-1071</v>
      </c>
      <c r="O12" s="314">
        <f>'Q - CFS Historical'!K10</f>
        <v>-1448</v>
      </c>
      <c r="P12" s="313">
        <v>-5257</v>
      </c>
      <c r="Q12" s="314">
        <f>'Q - CFS Historical'!M10</f>
        <v>-1152</v>
      </c>
      <c r="R12" s="314">
        <f>'Q - CFS Historical'!N10</f>
        <v>-444</v>
      </c>
      <c r="S12" s="314">
        <f>'Q - CFS Historical'!O10</f>
        <v>8726</v>
      </c>
      <c r="T12" s="314">
        <f>'Q - CFS Historical'!P10</f>
        <v>1218</v>
      </c>
      <c r="U12" s="313">
        <v>8348</v>
      </c>
      <c r="V12" s="314">
        <f>'Q - CFS Historical'!R10</f>
        <v>6920</v>
      </c>
      <c r="W12" s="328"/>
      <c r="X12" s="328"/>
      <c r="Y12" s="328"/>
      <c r="Z12" s="328"/>
      <c r="AA12" s="328"/>
      <c r="AC12" s="315"/>
      <c r="AD12" s="315"/>
      <c r="AE12" s="315"/>
      <c r="AF12" s="315"/>
      <c r="AG12" s="315"/>
      <c r="AH12" s="315"/>
      <c r="AI12" s="315"/>
      <c r="AJ12" s="305"/>
      <c r="AK12" s="306"/>
      <c r="AL12" s="306"/>
      <c r="AM12" s="306"/>
      <c r="AN12" s="306"/>
      <c r="AO12" s="306"/>
    </row>
    <row r="13" spans="1:41" ht="19.5" customHeight="1">
      <c r="A13" s="355" t="s">
        <v>174</v>
      </c>
      <c r="B13" s="317"/>
      <c r="C13" s="308"/>
      <c r="D13" s="313">
        <v>-6317</v>
      </c>
      <c r="E13" s="313">
        <v>-12270</v>
      </c>
      <c r="F13" s="313">
        <v>5519</v>
      </c>
      <c r="G13" s="314">
        <f>'Q - CFS Historical'!C11</f>
        <v>-84</v>
      </c>
      <c r="H13" s="314">
        <f>'Q - CFS Historical'!D11</f>
        <v>509</v>
      </c>
      <c r="I13" s="314">
        <f>'Q - CFS Historical'!E11</f>
        <v>869</v>
      </c>
      <c r="J13" s="314">
        <f>'Q - CFS Historical'!F11</f>
        <v>-471</v>
      </c>
      <c r="K13" s="313">
        <v>823</v>
      </c>
      <c r="L13" s="314">
        <f>'Q - CFS Historical'!H11</f>
        <v>-1781</v>
      </c>
      <c r="M13" s="314">
        <f>'Q - CFS Historical'!I11</f>
        <v>1024</v>
      </c>
      <c r="N13" s="314">
        <f>'Q - CFS Historical'!J11</f>
        <v>-1981</v>
      </c>
      <c r="O13" s="314">
        <f>'Q - CFS Historical'!K11</f>
        <v>67</v>
      </c>
      <c r="P13" s="313">
        <v>-2671</v>
      </c>
      <c r="Q13" s="314">
        <f>'Q - CFS Historical'!M11</f>
        <v>-9960</v>
      </c>
      <c r="R13" s="314">
        <f>'Q - CFS Historical'!N11</f>
        <v>-1451</v>
      </c>
      <c r="S13" s="314">
        <f>'Q - CFS Historical'!O11</f>
        <v>-10855</v>
      </c>
      <c r="T13" s="314">
        <f>'Q - CFS Historical'!P11</f>
        <v>-2354</v>
      </c>
      <c r="U13" s="313">
        <v>-24620</v>
      </c>
      <c r="V13" s="314">
        <f>'Q - CFS Historical'!R11</f>
        <v>-36804</v>
      </c>
      <c r="W13" s="328"/>
      <c r="X13" s="328"/>
      <c r="Y13" s="328"/>
      <c r="Z13" s="328"/>
      <c r="AA13" s="328"/>
      <c r="AC13" s="315"/>
      <c r="AD13" s="315"/>
      <c r="AE13" s="315"/>
      <c r="AF13" s="315"/>
      <c r="AG13" s="315"/>
      <c r="AH13" s="315"/>
      <c r="AI13" s="315"/>
      <c r="AJ13" s="305"/>
      <c r="AK13" s="306"/>
      <c r="AL13" s="306"/>
      <c r="AM13" s="306"/>
      <c r="AN13" s="306"/>
      <c r="AO13" s="306"/>
    </row>
    <row r="14" spans="1:41" ht="19.5" customHeight="1">
      <c r="A14" s="355" t="s">
        <v>175</v>
      </c>
      <c r="B14" s="317"/>
      <c r="C14" s="308"/>
      <c r="D14" s="313">
        <v>1267</v>
      </c>
      <c r="E14" s="313">
        <v>-213</v>
      </c>
      <c r="F14" s="313">
        <v>1030</v>
      </c>
      <c r="G14" s="314">
        <f>'Q - CFS Historical'!C12</f>
        <v>553</v>
      </c>
      <c r="H14" s="314">
        <f>'Q - CFS Historical'!D12</f>
        <v>97</v>
      </c>
      <c r="I14" s="314">
        <f>'Q - CFS Historical'!E12</f>
        <v>262</v>
      </c>
      <c r="J14" s="314">
        <f>'Q - CFS Historical'!F12</f>
        <v>3418</v>
      </c>
      <c r="K14" s="313">
        <v>4330</v>
      </c>
      <c r="L14" s="314">
        <f>'Q - CFS Historical'!H12</f>
        <v>334</v>
      </c>
      <c r="M14" s="314">
        <f>'Q - CFS Historical'!I12</f>
        <v>851</v>
      </c>
      <c r="N14" s="314">
        <f>'Q - CFS Historical'!J12</f>
        <v>1407</v>
      </c>
      <c r="O14" s="314">
        <f>'Q - CFS Historical'!K12</f>
        <v>827</v>
      </c>
      <c r="P14" s="313">
        <v>3419</v>
      </c>
      <c r="Q14" s="314">
        <f>'Q - CFS Historical'!M12</f>
        <v>481</v>
      </c>
      <c r="R14" s="314">
        <f>'Q - CFS Historical'!N12</f>
        <v>560</v>
      </c>
      <c r="S14" s="314">
        <f>'Q - CFS Historical'!O12</f>
        <v>-198</v>
      </c>
      <c r="T14" s="314">
        <f>'Q - CFS Historical'!P12</f>
        <v>1265</v>
      </c>
      <c r="U14" s="313">
        <v>2108</v>
      </c>
      <c r="V14" s="314">
        <f>'Q - CFS Historical'!R12</f>
        <v>1265</v>
      </c>
      <c r="W14" s="328"/>
      <c r="X14" s="328"/>
      <c r="Y14" s="328"/>
      <c r="Z14" s="328"/>
      <c r="AA14" s="328"/>
      <c r="AC14" s="315"/>
      <c r="AD14" s="315"/>
      <c r="AE14" s="315"/>
      <c r="AF14" s="315"/>
      <c r="AG14" s="315"/>
      <c r="AH14" s="315"/>
      <c r="AI14" s="315"/>
      <c r="AJ14" s="305"/>
      <c r="AK14" s="306"/>
      <c r="AL14" s="306"/>
      <c r="AM14" s="306"/>
      <c r="AN14" s="306"/>
      <c r="AO14" s="306"/>
    </row>
    <row r="15" spans="1:41" ht="19.5" customHeight="1">
      <c r="A15" s="331" t="s">
        <v>176</v>
      </c>
      <c r="B15" s="317"/>
      <c r="C15" s="308"/>
      <c r="D15" s="313">
        <f t="shared" ref="D15:V15" si="1">SUM(D16:D22)</f>
        <v>1827</v>
      </c>
      <c r="E15" s="313">
        <f t="shared" si="1"/>
        <v>-1523</v>
      </c>
      <c r="F15" s="313">
        <f t="shared" si="1"/>
        <v>-2235</v>
      </c>
      <c r="G15" s="314">
        <f t="shared" si="1"/>
        <v>1373</v>
      </c>
      <c r="H15" s="314">
        <f t="shared" si="1"/>
        <v>2936</v>
      </c>
      <c r="I15" s="314">
        <f t="shared" si="1"/>
        <v>2117</v>
      </c>
      <c r="J15" s="314">
        <f t="shared" si="1"/>
        <v>-10271</v>
      </c>
      <c r="K15" s="313">
        <f t="shared" si="1"/>
        <v>-3845</v>
      </c>
      <c r="L15" s="314">
        <f t="shared" si="1"/>
        <v>-2463</v>
      </c>
      <c r="M15" s="314">
        <f t="shared" si="1"/>
        <v>-5270</v>
      </c>
      <c r="N15" s="314">
        <f t="shared" si="1"/>
        <v>-3789</v>
      </c>
      <c r="O15" s="314">
        <f t="shared" si="1"/>
        <v>3116</v>
      </c>
      <c r="P15" s="313">
        <f t="shared" si="1"/>
        <v>-8406</v>
      </c>
      <c r="Q15" s="314">
        <f t="shared" si="1"/>
        <v>2238</v>
      </c>
      <c r="R15" s="314">
        <f t="shared" si="1"/>
        <v>-10110</v>
      </c>
      <c r="S15" s="314">
        <f t="shared" si="1"/>
        <v>3783</v>
      </c>
      <c r="T15" s="314">
        <f t="shared" si="1"/>
        <v>4707</v>
      </c>
      <c r="U15" s="313">
        <f t="shared" si="1"/>
        <v>618</v>
      </c>
      <c r="V15" s="314">
        <f t="shared" si="1"/>
        <v>-1402</v>
      </c>
      <c r="W15" s="328"/>
      <c r="X15" s="328"/>
      <c r="Y15" s="328"/>
      <c r="Z15" s="328"/>
      <c r="AA15" s="328"/>
      <c r="AC15" s="315"/>
      <c r="AD15" s="315"/>
      <c r="AE15" s="315"/>
      <c r="AF15" s="315"/>
      <c r="AG15" s="315"/>
      <c r="AH15" s="315"/>
      <c r="AI15" s="315"/>
      <c r="AJ15" s="315"/>
      <c r="AK15" s="314"/>
      <c r="AL15" s="314"/>
      <c r="AM15" s="314"/>
      <c r="AN15" s="314"/>
      <c r="AO15" s="314"/>
    </row>
    <row r="16" spans="1:41" ht="19.5" customHeight="1">
      <c r="A16" s="355" t="s">
        <v>177</v>
      </c>
      <c r="B16" s="308"/>
      <c r="C16" s="308"/>
      <c r="D16" s="313">
        <v>-6524</v>
      </c>
      <c r="E16" s="313">
        <v>-9095</v>
      </c>
      <c r="F16" s="313">
        <v>-2317</v>
      </c>
      <c r="G16" s="314">
        <f>'Q - CFS Historical'!C14</f>
        <v>4454</v>
      </c>
      <c r="H16" s="314">
        <f>'Q - CFS Historical'!D14</f>
        <v>-2948</v>
      </c>
      <c r="I16" s="314">
        <f>'Q - CFS Historical'!E14</f>
        <v>-2821</v>
      </c>
      <c r="J16" s="314">
        <f>'Q - CFS Historical'!F14</f>
        <v>-6518</v>
      </c>
      <c r="K16" s="313">
        <v>-7833</v>
      </c>
      <c r="L16" s="314">
        <f>'Q - CFS Historical'!H14</f>
        <v>3167</v>
      </c>
      <c r="M16" s="314">
        <f>'Q - CFS Historical'!I14</f>
        <v>-3057</v>
      </c>
      <c r="N16" s="314">
        <f>'Q - CFS Historical'!J14</f>
        <v>-1431</v>
      </c>
      <c r="O16" s="314">
        <f>'Q - CFS Historical'!K14</f>
        <v>-4570</v>
      </c>
      <c r="P16" s="313">
        <v>-5891</v>
      </c>
      <c r="Q16" s="314">
        <f>'Q - CFS Historical'!M14</f>
        <v>1638</v>
      </c>
      <c r="R16" s="314">
        <f>'Q - CFS Historical'!N14</f>
        <v>-2839</v>
      </c>
      <c r="S16" s="314">
        <f>'Q - CFS Historical'!O14</f>
        <v>-2381</v>
      </c>
      <c r="T16" s="314">
        <f>'Q - CFS Historical'!P14</f>
        <v>-5197</v>
      </c>
      <c r="U16" s="313">
        <v>-8779</v>
      </c>
      <c r="V16" s="314">
        <f>'Q - CFS Historical'!R14</f>
        <v>-363</v>
      </c>
      <c r="W16" s="328"/>
      <c r="X16" s="328"/>
      <c r="Y16" s="328"/>
      <c r="Z16" s="328"/>
      <c r="AA16" s="328"/>
      <c r="AC16" s="315"/>
      <c r="AD16" s="315"/>
      <c r="AE16" s="315"/>
      <c r="AF16" s="315"/>
      <c r="AG16" s="315"/>
      <c r="AH16" s="315"/>
      <c r="AI16" s="315"/>
      <c r="AJ16" s="305"/>
      <c r="AK16" s="306"/>
      <c r="AL16" s="306"/>
      <c r="AM16" s="306"/>
      <c r="AN16" s="306"/>
      <c r="AO16" s="306"/>
    </row>
    <row r="17" spans="1:41" ht="19.5" customHeight="1">
      <c r="A17" s="355" t="s">
        <v>178</v>
      </c>
      <c r="B17" s="308"/>
      <c r="C17" s="308"/>
      <c r="D17" s="313">
        <v>1209</v>
      </c>
      <c r="E17" s="313">
        <v>-625</v>
      </c>
      <c r="F17" s="313">
        <v>584</v>
      </c>
      <c r="G17" s="314">
        <f>'Q - CFS Historical'!C15</f>
        <v>4069</v>
      </c>
      <c r="H17" s="314">
        <f>'Q - CFS Historical'!D15</f>
        <v>4451</v>
      </c>
      <c r="I17" s="314">
        <f>'Q - CFS Historical'!E15</f>
        <v>1872</v>
      </c>
      <c r="J17" s="314">
        <f>'Q - CFS Historical'!F15</f>
        <v>-9869</v>
      </c>
      <c r="K17" s="313">
        <v>523</v>
      </c>
      <c r="L17" s="314">
        <f>'Q - CFS Historical'!H15</f>
        <v>3011</v>
      </c>
      <c r="M17" s="314">
        <f>'Q - CFS Historical'!I15</f>
        <v>-3900</v>
      </c>
      <c r="N17" s="314">
        <f>'Q - CFS Historical'!J15</f>
        <v>-1908</v>
      </c>
      <c r="O17" s="314">
        <f>'Q - CFS Historical'!K15</f>
        <v>379</v>
      </c>
      <c r="P17" s="313">
        <v>-2418</v>
      </c>
      <c r="Q17" s="314">
        <f>'Q - CFS Historical'!M15</f>
        <v>7197</v>
      </c>
      <c r="R17" s="314">
        <f>'Q - CFS Historical'!N15</f>
        <v>-9631</v>
      </c>
      <c r="S17" s="314">
        <f>'Q - CFS Historical'!O15</f>
        <v>-858</v>
      </c>
      <c r="T17" s="314">
        <f>'Q - CFS Historical'!P15</f>
        <v>66</v>
      </c>
      <c r="U17" s="313">
        <v>-3226</v>
      </c>
      <c r="V17" s="314">
        <f>'Q - CFS Historical'!R15</f>
        <v>8101</v>
      </c>
      <c r="W17" s="328"/>
      <c r="X17" s="328"/>
      <c r="Y17" s="328"/>
      <c r="Z17" s="328"/>
      <c r="AA17" s="328"/>
      <c r="AC17" s="315"/>
      <c r="AD17" s="315"/>
      <c r="AE17" s="315"/>
      <c r="AF17" s="315"/>
      <c r="AG17" s="315"/>
      <c r="AH17" s="315"/>
      <c r="AI17" s="315"/>
      <c r="AJ17" s="305"/>
      <c r="AK17" s="306"/>
      <c r="AL17" s="306"/>
      <c r="AM17" s="306"/>
      <c r="AN17" s="306"/>
      <c r="AO17" s="306"/>
    </row>
    <row r="18" spans="1:41" ht="19.5" customHeight="1">
      <c r="A18" s="355" t="s">
        <v>179</v>
      </c>
      <c r="B18" s="308"/>
      <c r="C18" s="308"/>
      <c r="D18" s="313">
        <v>-1330</v>
      </c>
      <c r="E18" s="313">
        <v>-1846</v>
      </c>
      <c r="F18" s="313">
        <v>-5046</v>
      </c>
      <c r="G18" s="314">
        <f>'Q - CFS Historical'!C16</f>
        <v>-746</v>
      </c>
      <c r="H18" s="314">
        <f>'Q - CFS Historical'!D16</f>
        <v>-513</v>
      </c>
      <c r="I18" s="314">
        <f>'Q - CFS Historical'!E16</f>
        <v>-1624</v>
      </c>
      <c r="J18" s="314">
        <f>'Q - CFS Historical'!F16</f>
        <v>740</v>
      </c>
      <c r="K18" s="313">
        <v>-2143</v>
      </c>
      <c r="L18" s="314">
        <f>'Q - CFS Historical'!H16</f>
        <v>-1000</v>
      </c>
      <c r="M18" s="314">
        <f>'Q - CFS Historical'!I16</f>
        <v>-532</v>
      </c>
      <c r="N18" s="314">
        <f>'Q - CFS Historical'!J16</f>
        <v>-802</v>
      </c>
      <c r="O18" s="314">
        <f>'Q - CFS Historical'!K16</f>
        <v>937</v>
      </c>
      <c r="P18" s="313">
        <v>-1397</v>
      </c>
      <c r="Q18" s="314">
        <f>'Q - CFS Historical'!M16</f>
        <v>-1288</v>
      </c>
      <c r="R18" s="314">
        <f>'Q - CFS Historical'!N16</f>
        <v>-1479</v>
      </c>
      <c r="S18" s="314">
        <f>'Q - CFS Historical'!O16</f>
        <v>-1293</v>
      </c>
      <c r="T18" s="314">
        <f>'Q - CFS Historical'!P16</f>
        <v>-482</v>
      </c>
      <c r="U18" s="313">
        <v>-4542</v>
      </c>
      <c r="V18" s="314">
        <f>'Q - CFS Historical'!R16</f>
        <v>-3403</v>
      </c>
      <c r="W18" s="328"/>
      <c r="X18" s="328"/>
      <c r="Y18" s="328"/>
      <c r="Z18" s="328"/>
      <c r="AA18" s="328"/>
      <c r="AC18" s="315"/>
      <c r="AD18" s="315"/>
      <c r="AE18" s="315"/>
      <c r="AF18" s="315"/>
      <c r="AG18" s="315"/>
      <c r="AH18" s="315"/>
      <c r="AI18" s="315"/>
      <c r="AJ18" s="305"/>
      <c r="AK18" s="306"/>
      <c r="AL18" s="306"/>
      <c r="AM18" s="306"/>
      <c r="AN18" s="306"/>
      <c r="AO18" s="306"/>
    </row>
    <row r="19" spans="1:41" ht="19.5" customHeight="1">
      <c r="A19" s="355" t="s">
        <v>180</v>
      </c>
      <c r="B19" s="308"/>
      <c r="C19" s="308"/>
      <c r="D19" s="313">
        <v>694</v>
      </c>
      <c r="E19" s="313">
        <v>283</v>
      </c>
      <c r="F19" s="313">
        <v>707</v>
      </c>
      <c r="G19" s="314">
        <f>'Q - CFS Historical'!C17</f>
        <v>-1105</v>
      </c>
      <c r="H19" s="314">
        <f>'Q - CFS Historical'!D17</f>
        <v>1119</v>
      </c>
      <c r="I19" s="314">
        <f>'Q - CFS Historical'!E17</f>
        <v>223</v>
      </c>
      <c r="J19" s="314">
        <f>'Q - CFS Historical'!F17</f>
        <v>427</v>
      </c>
      <c r="K19" s="313">
        <v>664</v>
      </c>
      <c r="L19" s="314">
        <f>'Q - CFS Historical'!H17</f>
        <v>-2124</v>
      </c>
      <c r="M19" s="314">
        <f>'Q - CFS Historical'!I17</f>
        <v>1561</v>
      </c>
      <c r="N19" s="314">
        <f>'Q - CFS Historical'!J17</f>
        <v>521</v>
      </c>
      <c r="O19" s="314">
        <f>'Q - CFS Historical'!K17</f>
        <v>401</v>
      </c>
      <c r="P19" s="313">
        <v>359</v>
      </c>
      <c r="Q19" s="314">
        <f>'Q - CFS Historical'!M17</f>
        <v>-880</v>
      </c>
      <c r="R19" s="314">
        <f>'Q - CFS Historical'!N17</f>
        <v>553</v>
      </c>
      <c r="S19" s="314">
        <f>'Q - CFS Historical'!O17</f>
        <v>-444</v>
      </c>
      <c r="T19" s="314">
        <f>'Q - CFS Historical'!P17</f>
        <v>1678</v>
      </c>
      <c r="U19" s="313">
        <v>907</v>
      </c>
      <c r="V19" s="314">
        <f>'Q - CFS Historical'!R17</f>
        <v>-240</v>
      </c>
      <c r="W19" s="328"/>
      <c r="X19" s="328"/>
      <c r="Y19" s="328"/>
      <c r="Z19" s="328"/>
      <c r="AA19" s="328"/>
      <c r="AC19" s="315"/>
      <c r="AD19" s="315"/>
      <c r="AE19" s="315"/>
      <c r="AF19" s="315"/>
      <c r="AG19" s="315"/>
      <c r="AH19" s="315"/>
      <c r="AI19" s="315"/>
      <c r="AJ19" s="305"/>
      <c r="AK19" s="306"/>
      <c r="AL19" s="306"/>
      <c r="AM19" s="306"/>
      <c r="AN19" s="306"/>
      <c r="AO19" s="306"/>
    </row>
    <row r="20" spans="1:41" ht="19.5" customHeight="1">
      <c r="A20" s="355" t="s">
        <v>181</v>
      </c>
      <c r="B20" s="308"/>
      <c r="C20" s="308"/>
      <c r="D20" s="313">
        <v>5504</v>
      </c>
      <c r="E20" s="313">
        <v>7304</v>
      </c>
      <c r="F20" s="313">
        <v>3915</v>
      </c>
      <c r="G20" s="314">
        <f>'Q - CFS Historical'!C18</f>
        <v>-4496</v>
      </c>
      <c r="H20" s="314">
        <f>'Q - CFS Historical'!D18</f>
        <v>459</v>
      </c>
      <c r="I20" s="314">
        <f>'Q - CFS Historical'!E18</f>
        <v>3657</v>
      </c>
      <c r="J20" s="314">
        <f>'Q - CFS Historical'!F18</f>
        <v>4317</v>
      </c>
      <c r="K20" s="313">
        <v>3937</v>
      </c>
      <c r="L20" s="314">
        <f>'Q - CFS Historical'!H18</f>
        <v>-5054</v>
      </c>
      <c r="M20" s="314">
        <f>'Q - CFS Historical'!I18</f>
        <v>-122</v>
      </c>
      <c r="N20" s="314">
        <f>'Q - CFS Historical'!J18</f>
        <v>-1190</v>
      </c>
      <c r="O20" s="314">
        <f>'Q - CFS Historical'!K18</f>
        <v>5205</v>
      </c>
      <c r="P20" s="313">
        <v>-1161</v>
      </c>
      <c r="Q20" s="314">
        <f>'Q - CFS Historical'!M18</f>
        <v>-5045</v>
      </c>
      <c r="R20" s="314">
        <f>'Q - CFS Historical'!N18</f>
        <v>3485</v>
      </c>
      <c r="S20" s="314">
        <f>'Q - CFS Historical'!O18</f>
        <v>7759</v>
      </c>
      <c r="T20" s="314">
        <f>'Q - CFS Historical'!P18</f>
        <v>6740</v>
      </c>
      <c r="U20" s="313">
        <v>12939</v>
      </c>
      <c r="V20" s="314">
        <f>'Q - CFS Historical'!R18</f>
        <v>-6002</v>
      </c>
      <c r="W20" s="328"/>
      <c r="X20" s="328"/>
      <c r="Y20" s="328"/>
      <c r="Z20" s="328"/>
      <c r="AA20" s="328"/>
      <c r="AC20" s="315"/>
      <c r="AD20" s="315"/>
      <c r="AE20" s="315"/>
      <c r="AF20" s="315"/>
      <c r="AG20" s="315"/>
      <c r="AH20" s="315"/>
      <c r="AI20" s="315"/>
      <c r="AJ20" s="305"/>
      <c r="AK20" s="306"/>
      <c r="AL20" s="306"/>
      <c r="AM20" s="306"/>
      <c r="AN20" s="306"/>
      <c r="AO20" s="306"/>
    </row>
    <row r="21" spans="1:41" ht="19.5" customHeight="1">
      <c r="A21" s="355" t="s">
        <v>182</v>
      </c>
      <c r="B21" s="308"/>
      <c r="C21" s="308"/>
      <c r="D21" s="313">
        <v>1639</v>
      </c>
      <c r="E21" s="313">
        <v>1682</v>
      </c>
      <c r="F21" s="313">
        <v>-445</v>
      </c>
      <c r="G21" s="314">
        <f>'Q - CFS Historical'!C19</f>
        <v>-602</v>
      </c>
      <c r="H21" s="314">
        <f>'Q - CFS Historical'!D19</f>
        <v>184</v>
      </c>
      <c r="I21" s="314">
        <f>'Q - CFS Historical'!E19</f>
        <v>103</v>
      </c>
      <c r="J21" s="314">
        <f>'Q - CFS Historical'!F19</f>
        <v>797</v>
      </c>
      <c r="K21" s="313">
        <v>482</v>
      </c>
      <c r="L21" s="314">
        <f>'Q - CFS Historical'!H19</f>
        <v>-322</v>
      </c>
      <c r="M21" s="314">
        <f>'Q - CFS Historical'!I19</f>
        <v>419</v>
      </c>
      <c r="N21" s="314">
        <f>'Q - CFS Historical'!J19</f>
        <v>381</v>
      </c>
      <c r="O21" s="314">
        <f>'Q - CFS Historical'!K19</f>
        <v>581</v>
      </c>
      <c r="P21" s="313">
        <v>1059</v>
      </c>
      <c r="Q21" s="314">
        <f>'Q - CFS Historical'!M19</f>
        <v>116</v>
      </c>
      <c r="R21" s="314">
        <f>'Q - CFS Historical'!N19</f>
        <v>-335</v>
      </c>
      <c r="S21" s="314">
        <f>'Q - CFS Historical'!O19</f>
        <v>319</v>
      </c>
      <c r="T21" s="314">
        <f>'Q - CFS Historical'!P19</f>
        <v>799</v>
      </c>
      <c r="U21" s="313">
        <v>899</v>
      </c>
      <c r="V21" s="314">
        <f>'Q - CFS Historical'!R19</f>
        <v>0</v>
      </c>
      <c r="W21" s="328"/>
      <c r="X21" s="328"/>
      <c r="Y21" s="328"/>
      <c r="Z21" s="328"/>
      <c r="AA21" s="328"/>
      <c r="AC21" s="315"/>
      <c r="AD21" s="315"/>
      <c r="AE21" s="315"/>
      <c r="AF21" s="315"/>
      <c r="AG21" s="315"/>
      <c r="AH21" s="315"/>
      <c r="AI21" s="315"/>
      <c r="AJ21" s="305"/>
      <c r="AK21" s="306"/>
      <c r="AL21" s="306"/>
      <c r="AM21" s="306"/>
      <c r="AN21" s="306"/>
      <c r="AO21" s="306"/>
    </row>
    <row r="22" spans="1:41" ht="19.5" customHeight="1">
      <c r="A22" s="355" t="s">
        <v>183</v>
      </c>
      <c r="B22" s="308"/>
      <c r="C22" s="308"/>
      <c r="D22" s="313">
        <v>635</v>
      </c>
      <c r="E22" s="313">
        <v>774</v>
      </c>
      <c r="F22" s="313">
        <v>367</v>
      </c>
      <c r="G22" s="314">
        <f>'Q - CFS Historical'!C20</f>
        <v>-201</v>
      </c>
      <c r="H22" s="314">
        <f>'Q - CFS Historical'!D20</f>
        <v>184</v>
      </c>
      <c r="I22" s="314">
        <f>'Q - CFS Historical'!E20</f>
        <v>707</v>
      </c>
      <c r="J22" s="314">
        <f>'Q - CFS Historical'!F20</f>
        <v>-165</v>
      </c>
      <c r="K22" s="313">
        <v>525</v>
      </c>
      <c r="L22" s="314">
        <f>'Q - CFS Historical'!H20</f>
        <v>-141</v>
      </c>
      <c r="M22" s="314">
        <f>'Q - CFS Historical'!I20</f>
        <v>361</v>
      </c>
      <c r="N22" s="314">
        <f>'Q - CFS Historical'!J20</f>
        <v>640</v>
      </c>
      <c r="O22" s="314">
        <f>'Q - CFS Historical'!K20</f>
        <v>183</v>
      </c>
      <c r="P22" s="313">
        <v>1043</v>
      </c>
      <c r="Q22" s="314">
        <f>'Q - CFS Historical'!M20</f>
        <v>500</v>
      </c>
      <c r="R22" s="314">
        <f>'Q - CFS Historical'!N20</f>
        <v>136</v>
      </c>
      <c r="S22" s="314">
        <f>'Q - CFS Historical'!O20</f>
        <v>681</v>
      </c>
      <c r="T22" s="314">
        <f>'Q - CFS Historical'!P20</f>
        <v>1103</v>
      </c>
      <c r="U22" s="313">
        <v>2420</v>
      </c>
      <c r="V22" s="314">
        <f>'Q - CFS Historical'!R20</f>
        <v>505</v>
      </c>
      <c r="W22" s="328"/>
      <c r="X22" s="328"/>
      <c r="Y22" s="328"/>
      <c r="Z22" s="328"/>
      <c r="AA22" s="328"/>
      <c r="AC22" s="315"/>
      <c r="AD22" s="315"/>
      <c r="AE22" s="315"/>
      <c r="AF22" s="315"/>
      <c r="AG22" s="315"/>
      <c r="AH22" s="315"/>
      <c r="AI22" s="315"/>
      <c r="AJ22" s="305"/>
      <c r="AK22" s="306"/>
      <c r="AL22" s="306"/>
      <c r="AM22" s="306"/>
      <c r="AN22" s="306"/>
      <c r="AO22" s="306"/>
    </row>
    <row r="23" spans="1:41" ht="19.5" customHeight="1">
      <c r="A23" s="356" t="s">
        <v>184</v>
      </c>
      <c r="B23" s="357"/>
      <c r="C23" s="357"/>
      <c r="D23" s="358">
        <f t="shared" ref="D23:V23" si="2">D8+D9+D15</f>
        <v>65124</v>
      </c>
      <c r="E23" s="358">
        <f t="shared" si="2"/>
        <v>91652</v>
      </c>
      <c r="F23" s="358">
        <f t="shared" si="2"/>
        <v>91495</v>
      </c>
      <c r="G23" s="359">
        <f t="shared" si="2"/>
        <v>23509</v>
      </c>
      <c r="H23" s="359">
        <f t="shared" si="2"/>
        <v>28666</v>
      </c>
      <c r="I23" s="359">
        <f t="shared" si="2"/>
        <v>30656</v>
      </c>
      <c r="J23" s="359">
        <f t="shared" si="2"/>
        <v>18915</v>
      </c>
      <c r="K23" s="358">
        <f t="shared" si="2"/>
        <v>101746</v>
      </c>
      <c r="L23" s="359">
        <f t="shared" si="2"/>
        <v>28848</v>
      </c>
      <c r="M23" s="359">
        <f t="shared" si="2"/>
        <v>26640</v>
      </c>
      <c r="N23" s="359">
        <f t="shared" si="2"/>
        <v>30698</v>
      </c>
      <c r="O23" s="359">
        <f t="shared" si="2"/>
        <v>39113</v>
      </c>
      <c r="P23" s="358">
        <f t="shared" si="2"/>
        <v>125299</v>
      </c>
      <c r="Q23" s="359">
        <f t="shared" si="2"/>
        <v>36150</v>
      </c>
      <c r="R23" s="359">
        <f t="shared" si="2"/>
        <v>27747</v>
      </c>
      <c r="S23" s="359">
        <f t="shared" si="2"/>
        <v>48414</v>
      </c>
      <c r="T23" s="359">
        <f t="shared" si="2"/>
        <v>52402</v>
      </c>
      <c r="U23" s="358">
        <f t="shared" si="2"/>
        <v>164713</v>
      </c>
      <c r="V23" s="359">
        <f t="shared" si="2"/>
        <v>45790</v>
      </c>
      <c r="W23" s="360"/>
      <c r="X23" s="360"/>
      <c r="Y23" s="360"/>
      <c r="Z23" s="360"/>
      <c r="AA23" s="360"/>
      <c r="AC23" s="296"/>
      <c r="AD23" s="296"/>
      <c r="AE23" s="296"/>
      <c r="AF23" s="296"/>
      <c r="AG23" s="296"/>
      <c r="AH23" s="296"/>
      <c r="AI23" s="296"/>
      <c r="AJ23" s="296"/>
      <c r="AK23" s="297"/>
      <c r="AL23" s="297"/>
      <c r="AM23" s="297"/>
      <c r="AN23" s="297"/>
      <c r="AO23" s="297"/>
    </row>
    <row r="24" spans="1:41" ht="19.5" customHeight="1">
      <c r="A24" s="336"/>
      <c r="B24" s="308"/>
      <c r="C24" s="308"/>
      <c r="D24" s="361"/>
      <c r="E24" s="361"/>
      <c r="F24" s="361"/>
      <c r="G24" s="362"/>
      <c r="H24" s="362"/>
      <c r="I24" s="362"/>
      <c r="J24" s="362"/>
      <c r="K24" s="361"/>
      <c r="L24" s="362"/>
      <c r="M24" s="362"/>
      <c r="N24" s="362"/>
      <c r="O24" s="362"/>
      <c r="P24" s="361"/>
      <c r="Q24" s="362"/>
      <c r="R24" s="362"/>
      <c r="S24" s="362"/>
      <c r="T24" s="362"/>
      <c r="U24" s="361"/>
      <c r="V24" s="362"/>
      <c r="W24" s="328"/>
      <c r="X24" s="328"/>
      <c r="Y24" s="328"/>
      <c r="Z24" s="328"/>
      <c r="AA24" s="328"/>
      <c r="AC24" s="342"/>
      <c r="AD24" s="342"/>
      <c r="AE24" s="342"/>
      <c r="AF24" s="342"/>
      <c r="AG24" s="283"/>
      <c r="AH24" s="283"/>
      <c r="AI24" s="283"/>
      <c r="AJ24" s="283"/>
    </row>
    <row r="25" spans="1:41" ht="19.5" customHeight="1">
      <c r="A25" s="324" t="s">
        <v>185</v>
      </c>
      <c r="B25" s="324"/>
      <c r="C25" s="324"/>
      <c r="D25" s="333"/>
      <c r="E25" s="333"/>
      <c r="F25" s="333"/>
      <c r="G25" s="334"/>
      <c r="H25" s="334"/>
      <c r="I25" s="334"/>
      <c r="J25" s="334"/>
      <c r="K25" s="363"/>
      <c r="L25" s="364"/>
      <c r="M25" s="364"/>
      <c r="N25" s="364"/>
      <c r="O25" s="364"/>
      <c r="P25" s="363"/>
      <c r="Q25" s="364"/>
      <c r="R25" s="364"/>
      <c r="S25" s="364"/>
      <c r="T25" s="364"/>
      <c r="U25" s="363"/>
      <c r="V25" s="364"/>
      <c r="W25" s="335"/>
      <c r="X25" s="335"/>
      <c r="Y25" s="335"/>
      <c r="Z25" s="335"/>
      <c r="AA25" s="335"/>
      <c r="AC25" s="308"/>
      <c r="AD25" s="308"/>
      <c r="AE25" s="308"/>
      <c r="AF25" s="308"/>
      <c r="AG25" s="308"/>
      <c r="AH25" s="308"/>
      <c r="AI25" s="308"/>
      <c r="AJ25" s="308"/>
    </row>
    <row r="26" spans="1:41" ht="19.5" customHeight="1">
      <c r="A26" s="331" t="s">
        <v>186</v>
      </c>
      <c r="B26" s="325"/>
      <c r="C26" s="325"/>
      <c r="D26" s="134">
        <v>-22281</v>
      </c>
      <c r="E26" s="134">
        <v>-24640</v>
      </c>
      <c r="F26" s="134">
        <v>-31485</v>
      </c>
      <c r="G26" s="244">
        <f>'Q - CFS Historical'!C24</f>
        <v>-6289</v>
      </c>
      <c r="H26" s="244">
        <f>'Q - CFS Historical'!D24</f>
        <v>-6888</v>
      </c>
      <c r="I26" s="244">
        <f>'Q - CFS Historical'!E24</f>
        <v>-8055</v>
      </c>
      <c r="J26" s="244">
        <f>'Q - CFS Historical'!F24</f>
        <v>-11019</v>
      </c>
      <c r="K26" s="134">
        <v>-32251</v>
      </c>
      <c r="L26" s="244">
        <f>'Q - CFS Historical'!H24</f>
        <v>-12012</v>
      </c>
      <c r="M26" s="244">
        <f>'Q - CFS Historical'!I24</f>
        <v>-13186</v>
      </c>
      <c r="N26" s="244">
        <f>'Q - CFS Historical'!J24</f>
        <v>-13061</v>
      </c>
      <c r="O26" s="244">
        <f>'Q - CFS Historical'!K24</f>
        <v>-14276</v>
      </c>
      <c r="P26" s="134">
        <v>-52535</v>
      </c>
      <c r="Q26" s="244">
        <f>'Q - CFS Historical'!M24</f>
        <v>-17197</v>
      </c>
      <c r="R26" s="244">
        <f>'Q - CFS Historical'!N24</f>
        <v>-22446</v>
      </c>
      <c r="S26" s="244">
        <f>'Q - CFS Historical'!O24</f>
        <v>-23953</v>
      </c>
      <c r="T26" s="244">
        <f>'Q - CFS Historical'!P24</f>
        <v>-27851</v>
      </c>
      <c r="U26" s="134">
        <v>-91447</v>
      </c>
      <c r="V26" s="244">
        <f>'Q - CFS Historical'!R24</f>
        <v>-35674</v>
      </c>
      <c r="W26" s="328"/>
      <c r="X26" s="328"/>
      <c r="Y26" s="328"/>
      <c r="Z26" s="328"/>
      <c r="AA26" s="328"/>
      <c r="AC26" s="304"/>
      <c r="AD26" s="304"/>
      <c r="AE26" s="304"/>
      <c r="AF26" s="304"/>
      <c r="AG26" s="304"/>
      <c r="AH26" s="304"/>
      <c r="AI26" s="304"/>
      <c r="AJ26" s="305"/>
      <c r="AK26" s="306"/>
      <c r="AL26" s="306"/>
      <c r="AM26" s="306"/>
      <c r="AN26" s="306"/>
      <c r="AO26" s="306"/>
    </row>
    <row r="27" spans="1:41" ht="19.5" customHeight="1">
      <c r="A27" s="331" t="s">
        <v>187</v>
      </c>
      <c r="B27" s="326"/>
      <c r="C27" s="326"/>
      <c r="D27" s="134">
        <v>-136576</v>
      </c>
      <c r="E27" s="134">
        <v>-135196</v>
      </c>
      <c r="F27" s="134">
        <v>-78874</v>
      </c>
      <c r="G27" s="244">
        <f>'Q - CFS Historical'!C25</f>
        <v>-14227</v>
      </c>
      <c r="H27" s="244">
        <f>'Q - CFS Historical'!D25</f>
        <v>-21362</v>
      </c>
      <c r="I27" s="244">
        <f>'Q - CFS Historical'!E25</f>
        <v>-13833</v>
      </c>
      <c r="J27" s="244">
        <f>'Q - CFS Historical'!F25</f>
        <v>-28436</v>
      </c>
      <c r="K27" s="134">
        <v>-77858</v>
      </c>
      <c r="L27" s="244">
        <f>'Q - CFS Historical'!H25</f>
        <v>-20684</v>
      </c>
      <c r="M27" s="244">
        <f>'Q - CFS Historical'!I25</f>
        <v>-22327</v>
      </c>
      <c r="N27" s="244">
        <f>'Q - CFS Historical'!J25</f>
        <v>-22023</v>
      </c>
      <c r="O27" s="244">
        <f>'Q - CFS Historical'!K25</f>
        <v>-21645</v>
      </c>
      <c r="P27" s="134">
        <v>-86679</v>
      </c>
      <c r="Q27" s="244">
        <f>'Q - CFS Historical'!M25</f>
        <v>-18453</v>
      </c>
      <c r="R27" s="244">
        <f>'Q - CFS Historical'!N25</f>
        <v>-21417</v>
      </c>
      <c r="S27" s="244">
        <f>'Q - CFS Historical'!O25</f>
        <v>-20964</v>
      </c>
      <c r="T27" s="244">
        <f>'Q - CFS Historical'!P25</f>
        <v>-42939</v>
      </c>
      <c r="U27" s="134">
        <v>-103773</v>
      </c>
      <c r="V27" s="244">
        <f>'Q - CFS Historical'!R25</f>
        <v>-31041</v>
      </c>
      <c r="W27" s="328"/>
      <c r="X27" s="328"/>
      <c r="Y27" s="328"/>
      <c r="Z27" s="328"/>
      <c r="AA27" s="328"/>
      <c r="AC27" s="310"/>
      <c r="AD27" s="310"/>
      <c r="AE27" s="310"/>
      <c r="AF27" s="310"/>
      <c r="AG27" s="310"/>
      <c r="AH27" s="310"/>
      <c r="AI27" s="310"/>
      <c r="AJ27" s="306"/>
      <c r="AK27" s="306"/>
      <c r="AL27" s="306"/>
      <c r="AM27" s="306"/>
      <c r="AN27" s="306"/>
      <c r="AO27" s="306"/>
    </row>
    <row r="28" spans="1:41" ht="19.5" customHeight="1">
      <c r="A28" s="331" t="s">
        <v>188</v>
      </c>
      <c r="B28" s="327"/>
      <c r="C28" s="327"/>
      <c r="D28" s="134">
        <v>132906</v>
      </c>
      <c r="E28" s="134">
        <v>128294</v>
      </c>
      <c r="F28" s="134">
        <v>97822</v>
      </c>
      <c r="G28" s="244">
        <f>'Q - CFS Historical'!C26</f>
        <v>18327</v>
      </c>
      <c r="H28" s="244">
        <f>'Q - CFS Historical'!D26</f>
        <v>18722</v>
      </c>
      <c r="I28" s="244">
        <f>'Q - CFS Historical'!E26</f>
        <v>15593</v>
      </c>
      <c r="J28" s="244">
        <f>'Q - CFS Historical'!F26</f>
        <v>34030</v>
      </c>
      <c r="K28" s="134">
        <v>86672</v>
      </c>
      <c r="L28" s="244">
        <f>'Q - CFS Historical'!H26</f>
        <v>24985</v>
      </c>
      <c r="M28" s="244">
        <f>'Q - CFS Historical'!I26</f>
        <v>33592</v>
      </c>
      <c r="N28" s="244">
        <f>'Q - CFS Historical'!J26</f>
        <v>23202</v>
      </c>
      <c r="O28" s="244">
        <f>'Q - CFS Historical'!K26</f>
        <v>21649</v>
      </c>
      <c r="P28" s="134">
        <v>103428</v>
      </c>
      <c r="Q28" s="244">
        <f>'Q - CFS Historical'!M26</f>
        <v>20345</v>
      </c>
      <c r="R28" s="244">
        <f>'Q - CFS Historical'!N26</f>
        <v>20585</v>
      </c>
      <c r="S28" s="244">
        <f>'Q - CFS Historical'!O26</f>
        <v>20371</v>
      </c>
      <c r="T28" s="244">
        <f>'Q - CFS Historical'!P26</f>
        <v>21939</v>
      </c>
      <c r="U28" s="134">
        <v>83240</v>
      </c>
      <c r="V28" s="244">
        <f>'Q - CFS Historical'!R26</f>
        <v>38001</v>
      </c>
      <c r="W28" s="328"/>
      <c r="X28" s="328"/>
      <c r="Y28" s="328"/>
      <c r="Z28" s="328"/>
      <c r="AA28" s="328"/>
      <c r="AC28" s="304"/>
      <c r="AD28" s="304"/>
      <c r="AE28" s="304"/>
      <c r="AF28" s="304"/>
      <c r="AG28" s="304"/>
      <c r="AH28" s="304"/>
      <c r="AI28" s="304"/>
      <c r="AJ28" s="305"/>
      <c r="AK28" s="306"/>
      <c r="AL28" s="306"/>
      <c r="AM28" s="306"/>
      <c r="AN28" s="306"/>
      <c r="AO28" s="306"/>
    </row>
    <row r="29" spans="1:41" ht="19.5" customHeight="1">
      <c r="A29" s="331" t="s">
        <v>189</v>
      </c>
      <c r="D29" s="134">
        <v>-7175</v>
      </c>
      <c r="E29" s="134">
        <v>-2838</v>
      </c>
      <c r="F29" s="134">
        <v>-2531</v>
      </c>
      <c r="G29" s="244">
        <f>'Q - CFS Historical'!C27</f>
        <v>-626</v>
      </c>
      <c r="H29" s="244">
        <f>'Q - CFS Historical'!D27</f>
        <v>-887</v>
      </c>
      <c r="I29" s="244">
        <f>'Q - CFS Historical'!E27</f>
        <v>-663</v>
      </c>
      <c r="J29" s="244">
        <f>'Q - CFS Historical'!F27</f>
        <v>-851</v>
      </c>
      <c r="K29" s="134">
        <v>-3027</v>
      </c>
      <c r="L29" s="244">
        <f>'Q - CFS Historical'!H27</f>
        <v>-1206</v>
      </c>
      <c r="M29" s="244">
        <f>'Q - CFS Historical'!I27</f>
        <v>-993</v>
      </c>
      <c r="N29" s="244">
        <f>'Q - CFS Historical'!J27</f>
        <v>-1035</v>
      </c>
      <c r="O29" s="244">
        <f>'Q - CFS Historical'!K27</f>
        <v>-1800</v>
      </c>
      <c r="P29" s="134">
        <v>-5034</v>
      </c>
      <c r="Q29" s="244">
        <f>'Q - CFS Historical'!M27</f>
        <v>-958</v>
      </c>
      <c r="R29" s="244">
        <f>'Q - CFS Historical'!N27</f>
        <v>-1354</v>
      </c>
      <c r="S29" s="244">
        <f>'Q - CFS Historical'!O27</f>
        <v>-1000</v>
      </c>
      <c r="T29" s="244">
        <f>'Q - CFS Historical'!P27</f>
        <v>-2404</v>
      </c>
      <c r="U29" s="134">
        <v>-5716</v>
      </c>
      <c r="V29" s="244">
        <f>'Q - CFS Historical'!R27</f>
        <v>-906</v>
      </c>
      <c r="W29" s="328"/>
      <c r="X29" s="328"/>
      <c r="Y29" s="328"/>
      <c r="Z29" s="328"/>
      <c r="AA29" s="328"/>
      <c r="AC29" s="304"/>
      <c r="AD29" s="304"/>
      <c r="AE29" s="304"/>
      <c r="AF29" s="304"/>
      <c r="AG29" s="304"/>
      <c r="AH29" s="304"/>
      <c r="AI29" s="304"/>
      <c r="AJ29" s="305"/>
      <c r="AK29" s="306"/>
      <c r="AL29" s="306"/>
      <c r="AM29" s="306"/>
      <c r="AN29" s="306"/>
      <c r="AO29" s="306"/>
    </row>
    <row r="30" spans="1:41" ht="19.5" customHeight="1">
      <c r="A30" s="331" t="s">
        <v>190</v>
      </c>
      <c r="D30" s="134">
        <v>1023</v>
      </c>
      <c r="E30" s="134">
        <v>934</v>
      </c>
      <c r="F30" s="134">
        <v>150</v>
      </c>
      <c r="G30" s="244">
        <f>'Q - CFS Historical'!C28</f>
        <v>36</v>
      </c>
      <c r="H30" s="244">
        <f>'Q - CFS Historical'!D28</f>
        <v>145</v>
      </c>
      <c r="I30" s="244">
        <f>'Q - CFS Historical'!E28</f>
        <v>562</v>
      </c>
      <c r="J30" s="244">
        <f>'Q - CFS Historical'!F28</f>
        <v>204</v>
      </c>
      <c r="K30" s="134">
        <v>947</v>
      </c>
      <c r="L30" s="244">
        <f>'Q - CFS Historical'!H28</f>
        <v>313</v>
      </c>
      <c r="M30" s="244">
        <f>'Q - CFS Historical'!I28</f>
        <v>292</v>
      </c>
      <c r="N30" s="244">
        <f>'Q - CFS Historical'!J28</f>
        <v>127</v>
      </c>
      <c r="O30" s="244">
        <f>'Q - CFS Historical'!K28</f>
        <v>150</v>
      </c>
      <c r="P30" s="134">
        <v>882</v>
      </c>
      <c r="Q30" s="244">
        <f>'Q - CFS Historical'!M28</f>
        <v>259</v>
      </c>
      <c r="R30" s="244">
        <f>'Q - CFS Historical'!N28</f>
        <v>614</v>
      </c>
      <c r="S30" s="244">
        <f>'Q - CFS Historical'!O28</f>
        <v>323</v>
      </c>
      <c r="T30" s="244">
        <f>'Q - CFS Historical'!P28</f>
        <v>171</v>
      </c>
      <c r="U30" s="134">
        <v>1367</v>
      </c>
      <c r="V30" s="244">
        <f>'Q - CFS Historical'!R28</f>
        <v>848</v>
      </c>
      <c r="W30" s="328"/>
      <c r="X30" s="328"/>
      <c r="Y30" s="328"/>
      <c r="Z30" s="328"/>
      <c r="AA30" s="328"/>
      <c r="AC30" s="304"/>
      <c r="AD30" s="304"/>
      <c r="AE30" s="304"/>
      <c r="AF30" s="304"/>
      <c r="AG30" s="304"/>
      <c r="AH30" s="304"/>
      <c r="AI30" s="304"/>
      <c r="AJ30" s="305"/>
      <c r="AK30" s="306"/>
      <c r="AL30" s="306"/>
      <c r="AM30" s="306"/>
      <c r="AN30" s="306"/>
      <c r="AO30" s="306"/>
    </row>
    <row r="31" spans="1:41" ht="19.5" customHeight="1">
      <c r="A31" s="331" t="s">
        <v>191</v>
      </c>
      <c r="D31" s="134">
        <v>-738</v>
      </c>
      <c r="E31" s="134">
        <v>-2618</v>
      </c>
      <c r="F31" s="134">
        <v>-6969</v>
      </c>
      <c r="G31" s="244">
        <f>'Q - CFS Historical'!C29</f>
        <v>-42</v>
      </c>
      <c r="H31" s="244">
        <f>'Q - CFS Historical'!D29</f>
        <v>-298</v>
      </c>
      <c r="I31" s="244">
        <f>'Q - CFS Historical'!E29</f>
        <v>-126</v>
      </c>
      <c r="J31" s="244">
        <f>'Q - CFS Historical'!F29</f>
        <v>-29</v>
      </c>
      <c r="K31" s="134">
        <v>-495</v>
      </c>
      <c r="L31" s="244">
        <f>'Q - CFS Historical'!H29</f>
        <v>-61</v>
      </c>
      <c r="M31" s="244">
        <f>'Q - CFS Historical'!I29</f>
        <v>-26</v>
      </c>
      <c r="N31" s="244">
        <f>'Q - CFS Historical'!J29</f>
        <v>-2753</v>
      </c>
      <c r="O31" s="244">
        <f>'Q - CFS Historical'!K29</f>
        <v>-91</v>
      </c>
      <c r="P31" s="134">
        <v>-2931</v>
      </c>
      <c r="Q31" s="244">
        <f>'Q - CFS Historical'!M29</f>
        <v>-340</v>
      </c>
      <c r="R31" s="244">
        <f>'Q - CFS Historical'!N29</f>
        <v>-13</v>
      </c>
      <c r="S31" s="244">
        <f>'Q - CFS Historical'!O29</f>
        <v>-1072</v>
      </c>
      <c r="T31" s="244">
        <f>'Q - CFS Historical'!P29</f>
        <v>-167</v>
      </c>
      <c r="U31" s="134">
        <v>-1592</v>
      </c>
      <c r="V31" s="244">
        <f>'Q - CFS Historical'!R29</f>
        <v>-33621</v>
      </c>
      <c r="W31" s="328"/>
      <c r="X31" s="328"/>
      <c r="Y31" s="328"/>
      <c r="Z31" s="328"/>
      <c r="AA31" s="328"/>
      <c r="AC31" s="304"/>
      <c r="AD31" s="304"/>
      <c r="AE31" s="304"/>
      <c r="AF31" s="304"/>
      <c r="AG31" s="304"/>
      <c r="AH31" s="304"/>
      <c r="AI31" s="304"/>
      <c r="AJ31" s="305"/>
      <c r="AK31" s="306"/>
      <c r="AL31" s="306"/>
      <c r="AM31" s="306"/>
      <c r="AN31" s="306"/>
      <c r="AO31" s="306"/>
    </row>
    <row r="32" spans="1:41" ht="19.5" customHeight="1">
      <c r="A32" s="331" t="s">
        <v>192</v>
      </c>
      <c r="D32" s="134">
        <v>68</v>
      </c>
      <c r="E32" s="134">
        <v>541</v>
      </c>
      <c r="F32" s="134">
        <v>1589</v>
      </c>
      <c r="G32" s="244">
        <f>'Q - CFS Historical'!C30</f>
        <v>-125</v>
      </c>
      <c r="H32" s="244">
        <f>'Q - CFS Historical'!D30</f>
        <v>-232</v>
      </c>
      <c r="I32" s="244">
        <f>'Q - CFS Historical'!E30</f>
        <v>-628</v>
      </c>
      <c r="J32" s="244">
        <f>'Q - CFS Historical'!F30</f>
        <v>-66</v>
      </c>
      <c r="K32" s="134">
        <v>-1051</v>
      </c>
      <c r="L32" s="244">
        <f>'Q - CFS Historical'!H30</f>
        <v>101</v>
      </c>
      <c r="M32" s="244">
        <f>'Q - CFS Historical'!I30</f>
        <v>-133</v>
      </c>
      <c r="N32" s="244">
        <f>'Q - CFS Historical'!J30</f>
        <v>-2468</v>
      </c>
      <c r="O32" s="244">
        <f>'Q - CFS Historical'!K30</f>
        <v>-167</v>
      </c>
      <c r="P32" s="134">
        <v>-2667</v>
      </c>
      <c r="Q32" s="244">
        <f>'Q - CFS Historical'!M30</f>
        <v>150</v>
      </c>
      <c r="R32" s="244">
        <f>'Q - CFS Historical'!N30</f>
        <v>-513</v>
      </c>
      <c r="S32" s="244">
        <f>'Q - CFS Historical'!O30</f>
        <v>-1482</v>
      </c>
      <c r="T32" s="244">
        <f>'Q - CFS Historical'!P30</f>
        <v>-525</v>
      </c>
      <c r="U32" s="134">
        <v>-2370</v>
      </c>
      <c r="V32" s="244">
        <f>'Q - CFS Historical'!R30</f>
        <v>-996</v>
      </c>
      <c r="W32" s="328"/>
      <c r="X32" s="328"/>
      <c r="Y32" s="328"/>
      <c r="Z32" s="328"/>
      <c r="AA32" s="328"/>
      <c r="AC32" s="304"/>
      <c r="AD32" s="304"/>
      <c r="AE32" s="304"/>
      <c r="AF32" s="304"/>
      <c r="AG32" s="304"/>
      <c r="AH32" s="304"/>
      <c r="AI32" s="304"/>
      <c r="AJ32" s="305"/>
      <c r="AK32" s="306"/>
      <c r="AL32" s="306"/>
      <c r="AM32" s="306"/>
      <c r="AN32" s="306"/>
      <c r="AO32" s="306"/>
    </row>
    <row r="33" spans="1:41" ht="19.5" customHeight="1">
      <c r="A33" s="356" t="s">
        <v>193</v>
      </c>
      <c r="B33" s="365"/>
      <c r="C33" s="365"/>
      <c r="D33" s="358">
        <f t="shared" ref="D33:V33" si="3">SUM(D26:D32)</f>
        <v>-32773</v>
      </c>
      <c r="E33" s="358">
        <f t="shared" si="3"/>
        <v>-35523</v>
      </c>
      <c r="F33" s="358">
        <f t="shared" si="3"/>
        <v>-20298</v>
      </c>
      <c r="G33" s="359">
        <f t="shared" si="3"/>
        <v>-2946</v>
      </c>
      <c r="H33" s="359">
        <f t="shared" si="3"/>
        <v>-10800</v>
      </c>
      <c r="I33" s="359">
        <f t="shared" si="3"/>
        <v>-7150</v>
      </c>
      <c r="J33" s="359">
        <f t="shared" si="3"/>
        <v>-6167</v>
      </c>
      <c r="K33" s="358">
        <f t="shared" si="3"/>
        <v>-27063</v>
      </c>
      <c r="L33" s="359">
        <f t="shared" si="3"/>
        <v>-8564</v>
      </c>
      <c r="M33" s="359">
        <f t="shared" si="3"/>
        <v>-2781</v>
      </c>
      <c r="N33" s="359">
        <f t="shared" si="3"/>
        <v>-18011</v>
      </c>
      <c r="O33" s="359">
        <f t="shared" si="3"/>
        <v>-16180</v>
      </c>
      <c r="P33" s="358">
        <f t="shared" si="3"/>
        <v>-45536</v>
      </c>
      <c r="Q33" s="359">
        <f t="shared" si="3"/>
        <v>-16194</v>
      </c>
      <c r="R33" s="359">
        <f t="shared" si="3"/>
        <v>-24544</v>
      </c>
      <c r="S33" s="359">
        <f t="shared" si="3"/>
        <v>-27777</v>
      </c>
      <c r="T33" s="359">
        <f t="shared" si="3"/>
        <v>-51776</v>
      </c>
      <c r="U33" s="358">
        <f t="shared" si="3"/>
        <v>-120291</v>
      </c>
      <c r="V33" s="359">
        <f t="shared" si="3"/>
        <v>-63389</v>
      </c>
      <c r="W33" s="360"/>
      <c r="X33" s="360"/>
      <c r="Y33" s="360"/>
      <c r="Z33" s="360"/>
      <c r="AA33" s="360"/>
      <c r="AC33" s="296"/>
      <c r="AD33" s="296"/>
      <c r="AE33" s="296"/>
      <c r="AF33" s="296"/>
      <c r="AG33" s="296"/>
      <c r="AH33" s="296"/>
      <c r="AI33" s="296"/>
      <c r="AJ33" s="296"/>
      <c r="AK33" s="297"/>
      <c r="AL33" s="297"/>
      <c r="AM33" s="297"/>
      <c r="AN33" s="297"/>
      <c r="AO33" s="297"/>
    </row>
    <row r="34" spans="1:41" ht="19.5" customHeight="1">
      <c r="A34" s="336"/>
      <c r="D34" s="361"/>
      <c r="E34" s="361"/>
      <c r="F34" s="361"/>
      <c r="G34" s="362"/>
      <c r="H34" s="362"/>
      <c r="I34" s="362"/>
      <c r="J34" s="362"/>
      <c r="K34" s="361"/>
      <c r="L34" s="362"/>
      <c r="M34" s="362"/>
      <c r="N34" s="362"/>
      <c r="O34" s="362"/>
      <c r="P34" s="361"/>
      <c r="Q34" s="362"/>
      <c r="R34" s="362"/>
      <c r="S34" s="362"/>
      <c r="T34" s="362"/>
      <c r="U34" s="361"/>
      <c r="V34" s="362"/>
      <c r="W34" s="328"/>
      <c r="X34" s="328"/>
      <c r="Y34" s="328"/>
      <c r="Z34" s="328"/>
      <c r="AA34" s="328"/>
      <c r="AC34" s="308"/>
      <c r="AD34" s="308"/>
      <c r="AE34" s="308"/>
      <c r="AF34" s="308"/>
      <c r="AG34" s="308"/>
      <c r="AH34" s="308"/>
      <c r="AI34" s="308"/>
      <c r="AJ34" s="308"/>
    </row>
    <row r="35" spans="1:41" ht="19.5" customHeight="1">
      <c r="A35" s="324" t="s">
        <v>194</v>
      </c>
      <c r="B35" s="330"/>
      <c r="C35" s="330"/>
      <c r="D35" s="333"/>
      <c r="E35" s="333"/>
      <c r="F35" s="333"/>
      <c r="G35" s="334"/>
      <c r="H35" s="334"/>
      <c r="I35" s="334"/>
      <c r="J35" s="334"/>
      <c r="K35" s="333"/>
      <c r="L35" s="334"/>
      <c r="M35" s="334"/>
      <c r="N35" s="334"/>
      <c r="O35" s="334"/>
      <c r="P35" s="333"/>
      <c r="Q35" s="334"/>
      <c r="R35" s="334"/>
      <c r="S35" s="334"/>
      <c r="T35" s="334"/>
      <c r="U35" s="333"/>
      <c r="V35" s="334"/>
      <c r="W35" s="335"/>
      <c r="X35" s="335"/>
      <c r="Y35" s="335"/>
      <c r="Z35" s="335"/>
      <c r="AA35" s="335"/>
      <c r="AC35" s="342"/>
      <c r="AD35" s="342"/>
      <c r="AE35" s="342"/>
      <c r="AF35" s="342"/>
      <c r="AG35" s="283"/>
      <c r="AH35" s="283"/>
      <c r="AI35" s="283"/>
      <c r="AJ35" s="283"/>
    </row>
    <row r="36" spans="1:41" ht="19.5" customHeight="1">
      <c r="A36" s="331" t="s">
        <v>195</v>
      </c>
      <c r="D36" s="134">
        <v>-5720</v>
      </c>
      <c r="E36" s="134">
        <v>-10162</v>
      </c>
      <c r="F36" s="134">
        <v>-9300</v>
      </c>
      <c r="G36" s="244">
        <f>'Q - CFS Historical'!C34</f>
        <v>-1989</v>
      </c>
      <c r="H36" s="244">
        <f>'Q - CFS Historical'!D34</f>
        <v>-2736</v>
      </c>
      <c r="I36" s="244">
        <f>'Q - CFS Historical'!E34</f>
        <v>-2432</v>
      </c>
      <c r="J36" s="244">
        <f>'Q - CFS Historical'!F34</f>
        <v>-2680</v>
      </c>
      <c r="K36" s="134">
        <v>-9837</v>
      </c>
      <c r="L36" s="244">
        <f>'Q - CFS Historical'!H34</f>
        <v>-2929</v>
      </c>
      <c r="M36" s="244">
        <f>'Q - CFS Historical'!I34</f>
        <v>-3209</v>
      </c>
      <c r="N36" s="244">
        <f>'Q - CFS Historical'!J34</f>
        <v>-3003</v>
      </c>
      <c r="O36" s="244">
        <f>'Q - CFS Historical'!K34</f>
        <v>-3049</v>
      </c>
      <c r="P36" s="134">
        <v>-12190</v>
      </c>
      <c r="Q36" s="244">
        <f>'Q - CFS Historical'!M34</f>
        <v>-3110</v>
      </c>
      <c r="R36" s="244">
        <f>'Q - CFS Historical'!N34</f>
        <v>-2621</v>
      </c>
      <c r="S36" s="244">
        <f>'Q - CFS Historical'!O34</f>
        <v>-3270</v>
      </c>
      <c r="T36" s="244">
        <f>'Q - CFS Historical'!P34</f>
        <v>-5166</v>
      </c>
      <c r="U36" s="134">
        <v>-14167</v>
      </c>
      <c r="V36" s="244">
        <f>'Q - CFS Historical'!R34</f>
        <v>-5483</v>
      </c>
      <c r="W36" s="328"/>
      <c r="X36" s="328"/>
      <c r="Y36" s="328"/>
      <c r="Z36" s="328"/>
      <c r="AA36" s="328"/>
      <c r="AC36" s="304"/>
      <c r="AD36" s="304"/>
      <c r="AE36" s="304"/>
      <c r="AF36" s="304"/>
      <c r="AG36" s="304"/>
      <c r="AH36" s="304"/>
      <c r="AI36" s="304"/>
      <c r="AJ36" s="305"/>
      <c r="AK36" s="306"/>
      <c r="AL36" s="306"/>
      <c r="AM36" s="306"/>
      <c r="AN36" s="306"/>
      <c r="AO36" s="306"/>
    </row>
    <row r="37" spans="1:41" ht="19.5" customHeight="1">
      <c r="A37" s="331" t="s">
        <v>196</v>
      </c>
      <c r="D37" s="134">
        <v>-31149</v>
      </c>
      <c r="E37" s="134">
        <v>-50274</v>
      </c>
      <c r="F37" s="134">
        <v>-59296</v>
      </c>
      <c r="G37" s="244">
        <f>'Q - CFS Historical'!C35</f>
        <v>-14557</v>
      </c>
      <c r="H37" s="244">
        <f>'Q - CFS Historical'!D35</f>
        <v>-14969</v>
      </c>
      <c r="I37" s="244">
        <f>'Q - CFS Historical'!E35</f>
        <v>-15787</v>
      </c>
      <c r="J37" s="244">
        <f>'Q - CFS Historical'!F35</f>
        <v>-16191</v>
      </c>
      <c r="K37" s="134">
        <v>-61504</v>
      </c>
      <c r="L37" s="244">
        <f>'Q - CFS Historical'!H35</f>
        <v>-15696</v>
      </c>
      <c r="M37" s="244">
        <f>'Q - CFS Historical'!I35</f>
        <v>-15684</v>
      </c>
      <c r="N37" s="244">
        <f>'Q - CFS Historical'!J35</f>
        <v>-15291</v>
      </c>
      <c r="O37" s="244">
        <f>'Q - CFS Historical'!K35</f>
        <v>-15551</v>
      </c>
      <c r="P37" s="134">
        <v>-62222</v>
      </c>
      <c r="Q37" s="244">
        <f>'Q - CFS Historical'!M35</f>
        <v>-15068</v>
      </c>
      <c r="R37" s="244">
        <f>'Q - CFS Historical'!N35</f>
        <v>-13638</v>
      </c>
      <c r="S37" s="244">
        <f>'Q - CFS Historical'!O35</f>
        <v>-11504</v>
      </c>
      <c r="T37" s="244">
        <f>'Q - CFS Historical'!P35</f>
        <v>-5499</v>
      </c>
      <c r="U37" s="134">
        <v>-45709</v>
      </c>
      <c r="V37" s="244">
        <f>'Q - CFS Historical'!R35</f>
        <v>0</v>
      </c>
      <c r="W37" s="328"/>
      <c r="X37" s="328"/>
      <c r="Y37" s="328"/>
      <c r="Z37" s="328"/>
      <c r="AA37" s="328"/>
      <c r="AC37" s="304"/>
      <c r="AD37" s="304"/>
      <c r="AE37" s="304"/>
      <c r="AF37" s="304"/>
      <c r="AG37" s="304"/>
      <c r="AH37" s="304"/>
      <c r="AI37" s="304"/>
      <c r="AJ37" s="305"/>
      <c r="AK37" s="306"/>
      <c r="AL37" s="306"/>
      <c r="AM37" s="306"/>
      <c r="AN37" s="306"/>
      <c r="AO37" s="306"/>
    </row>
    <row r="38" spans="1:41" ht="19.5" customHeight="1">
      <c r="A38" s="331" t="s">
        <v>197</v>
      </c>
      <c r="D38" s="134">
        <v>0</v>
      </c>
      <c r="E38" s="134">
        <v>0</v>
      </c>
      <c r="F38" s="134">
        <v>0</v>
      </c>
      <c r="G38" s="244">
        <f>'Q - CFS Historical'!C36</f>
        <v>0</v>
      </c>
      <c r="H38" s="244">
        <f>'Q - CFS Historical'!D36</f>
        <v>0</v>
      </c>
      <c r="I38" s="244">
        <f>'Q - CFS Historical'!E36</f>
        <v>0</v>
      </c>
      <c r="J38" s="244">
        <f>'Q - CFS Historical'!F36</f>
        <v>0</v>
      </c>
      <c r="K38" s="134">
        <v>0</v>
      </c>
      <c r="L38" s="244">
        <f>'Q - CFS Historical'!H36</f>
        <v>0</v>
      </c>
      <c r="M38" s="244">
        <f>'Q - CFS Historical'!I36</f>
        <v>-2466</v>
      </c>
      <c r="N38" s="244">
        <f>'Q - CFS Historical'!J36</f>
        <v>-2455</v>
      </c>
      <c r="O38" s="244">
        <f>'Q - CFS Historical'!K36</f>
        <v>-2442</v>
      </c>
      <c r="P38" s="134">
        <v>-7363</v>
      </c>
      <c r="Q38" s="244">
        <f>'Q - CFS Historical'!M36</f>
        <v>-2434</v>
      </c>
      <c r="R38" s="244">
        <f>'Q - CFS Historical'!N36</f>
        <v>-2543</v>
      </c>
      <c r="S38" s="244">
        <f>'Q - CFS Historical'!O36</f>
        <v>-2536</v>
      </c>
      <c r="T38" s="244">
        <f>'Q - CFS Historical'!P36</f>
        <v>-2536</v>
      </c>
      <c r="U38" s="134">
        <v>-10049</v>
      </c>
      <c r="V38" s="244">
        <f>'Q - CFS Historical'!R36</f>
        <v>-2542</v>
      </c>
      <c r="W38" s="328"/>
      <c r="X38" s="328"/>
      <c r="Y38" s="328"/>
      <c r="Z38" s="328"/>
      <c r="AA38" s="328"/>
      <c r="AC38" s="304"/>
      <c r="AD38" s="304"/>
      <c r="AE38" s="304"/>
      <c r="AF38" s="304"/>
      <c r="AG38" s="304"/>
      <c r="AH38" s="304"/>
      <c r="AI38" s="304"/>
      <c r="AJ38" s="305"/>
      <c r="AK38" s="306"/>
      <c r="AL38" s="306"/>
      <c r="AM38" s="306"/>
      <c r="AN38" s="306"/>
      <c r="AO38" s="306"/>
    </row>
    <row r="39" spans="1:41" ht="19.5" customHeight="1">
      <c r="A39" s="331" t="s">
        <v>198</v>
      </c>
      <c r="D39" s="134">
        <v>11761</v>
      </c>
      <c r="E39" s="134">
        <v>20199</v>
      </c>
      <c r="F39" s="134">
        <v>52872</v>
      </c>
      <c r="G39" s="244">
        <f>'Q - CFS Historical'!C37</f>
        <v>6927</v>
      </c>
      <c r="H39" s="244">
        <f>'Q - CFS Historical'!D37</f>
        <v>1123</v>
      </c>
      <c r="I39" s="244">
        <f>'Q - CFS Historical'!E37</f>
        <v>1248</v>
      </c>
      <c r="J39" s="244">
        <f>'Q - CFS Historical'!F37</f>
        <v>1492</v>
      </c>
      <c r="K39" s="134">
        <v>10790</v>
      </c>
      <c r="L39" s="244">
        <f>'Q - CFS Historical'!H37</f>
        <v>1982</v>
      </c>
      <c r="M39" s="244">
        <f>'Q - CFS Historical'!I37</f>
        <v>2893</v>
      </c>
      <c r="N39" s="244">
        <f>'Q - CFS Historical'!J37</f>
        <v>3819</v>
      </c>
      <c r="O39" s="244">
        <f>'Q - CFS Historical'!K37</f>
        <v>4895</v>
      </c>
      <c r="P39" s="134">
        <v>13589</v>
      </c>
      <c r="Q39" s="244">
        <f>'Q - CFS Historical'!M37</f>
        <v>4532</v>
      </c>
      <c r="R39" s="244">
        <f>'Q - CFS Historical'!N37</f>
        <v>26846</v>
      </c>
      <c r="S39" s="244">
        <f>'Q - CFS Historical'!O37</f>
        <v>6624</v>
      </c>
      <c r="T39" s="244">
        <f>'Q - CFS Historical'!P37</f>
        <v>26562</v>
      </c>
      <c r="U39" s="134">
        <v>64564</v>
      </c>
      <c r="V39" s="244">
        <f>'Q - CFS Historical'!R37</f>
        <v>31379</v>
      </c>
      <c r="W39" s="328"/>
      <c r="X39" s="328"/>
      <c r="Y39" s="328"/>
      <c r="Z39" s="328"/>
      <c r="AA39" s="328"/>
      <c r="AC39" s="304"/>
      <c r="AD39" s="304"/>
      <c r="AE39" s="304"/>
      <c r="AF39" s="304"/>
      <c r="AG39" s="304"/>
      <c r="AH39" s="304"/>
      <c r="AI39" s="304"/>
      <c r="AJ39" s="305"/>
      <c r="AK39" s="306"/>
      <c r="AL39" s="306"/>
      <c r="AM39" s="306"/>
      <c r="AN39" s="306"/>
      <c r="AO39" s="306"/>
    </row>
    <row r="40" spans="1:41" ht="19.5" customHeight="1">
      <c r="A40" s="331" t="s">
        <v>199</v>
      </c>
      <c r="D40" s="134">
        <v>-2100</v>
      </c>
      <c r="E40" s="134">
        <v>-21435</v>
      </c>
      <c r="F40" s="134">
        <v>-54068</v>
      </c>
      <c r="G40" s="244">
        <f>'Q - CFS Historical'!C38</f>
        <v>-6952</v>
      </c>
      <c r="H40" s="244">
        <f>'Q - CFS Historical'!D38</f>
        <v>-1255</v>
      </c>
      <c r="I40" s="244">
        <f>'Q - CFS Historical'!E38</f>
        <v>-1414</v>
      </c>
      <c r="J40" s="244">
        <f>'Q - CFS Historical'!F38</f>
        <v>-1929</v>
      </c>
      <c r="K40" s="134">
        <v>-11550</v>
      </c>
      <c r="L40" s="244">
        <f>'Q - CFS Historical'!H38</f>
        <v>-3079</v>
      </c>
      <c r="M40" s="244">
        <f>'Q - CFS Historical'!I38</f>
        <v>-2423</v>
      </c>
      <c r="N40" s="244">
        <f>'Q - CFS Historical'!J38</f>
        <v>-3449</v>
      </c>
      <c r="O40" s="244">
        <f>'Q - CFS Historical'!K38</f>
        <v>-3750</v>
      </c>
      <c r="P40" s="134">
        <v>-12701</v>
      </c>
      <c r="Q40" s="244">
        <f>'Q - CFS Historical'!M38</f>
        <v>-4521</v>
      </c>
      <c r="R40" s="244">
        <f>'Q - CFS Historical'!N38</f>
        <v>-13876</v>
      </c>
      <c r="S40" s="244">
        <f>'Q - CFS Historical'!O38</f>
        <v>-7697</v>
      </c>
      <c r="T40" s="244">
        <f>'Q - CFS Historical'!P38</f>
        <v>-6333</v>
      </c>
      <c r="U40" s="134">
        <v>-32427</v>
      </c>
      <c r="V40" s="244">
        <f>'Q - CFS Historical'!R38</f>
        <v>-1477</v>
      </c>
      <c r="W40" s="328"/>
      <c r="X40" s="328"/>
      <c r="Y40" s="328"/>
      <c r="Z40" s="328"/>
      <c r="AA40" s="328"/>
      <c r="AC40" s="304"/>
      <c r="AD40" s="304"/>
      <c r="AE40" s="304"/>
      <c r="AF40" s="304"/>
      <c r="AG40" s="304"/>
      <c r="AH40" s="304"/>
      <c r="AI40" s="304"/>
      <c r="AJ40" s="305"/>
      <c r="AK40" s="306"/>
      <c r="AL40" s="306"/>
      <c r="AM40" s="306"/>
      <c r="AN40" s="306"/>
      <c r="AO40" s="306"/>
    </row>
    <row r="41" spans="1:41" ht="19.5" customHeight="1">
      <c r="A41" s="331" t="s">
        <v>200</v>
      </c>
      <c r="D41" s="134">
        <v>2800</v>
      </c>
      <c r="E41" s="134">
        <v>310</v>
      </c>
      <c r="F41" s="134">
        <v>35</v>
      </c>
      <c r="G41" s="244">
        <f>'Q - CFS Historical'!C39</f>
        <v>3</v>
      </c>
      <c r="H41" s="244">
        <f>'Q - CFS Historical'!D39</f>
        <v>2</v>
      </c>
      <c r="I41" s="244">
        <f>'Q - CFS Historical'!E39</f>
        <v>3</v>
      </c>
      <c r="J41" s="244">
        <f>'Q - CFS Historical'!F39</f>
        <v>0</v>
      </c>
      <c r="K41" s="134">
        <v>8</v>
      </c>
      <c r="L41" s="244">
        <f>'Q - CFS Historical'!H39</f>
        <v>8</v>
      </c>
      <c r="M41" s="244">
        <f>'Q - CFS Historical'!I39</f>
        <v>0</v>
      </c>
      <c r="N41" s="244">
        <f>'Q - CFS Historical'!J39</f>
        <v>285</v>
      </c>
      <c r="O41" s="244">
        <f>'Q - CFS Historical'!K39</f>
        <v>861</v>
      </c>
      <c r="P41" s="134">
        <v>1154</v>
      </c>
      <c r="Q41" s="244">
        <f>'Q - CFS Historical'!M39</f>
        <v>400</v>
      </c>
      <c r="R41" s="244">
        <f>'Q - CFS Historical'!N39</f>
        <v>0</v>
      </c>
      <c r="S41" s="244">
        <f>'Q - CFS Historical'!O39</f>
        <v>0</v>
      </c>
      <c r="T41" s="244">
        <f>'Q - CFS Historical'!P39</f>
        <v>0</v>
      </c>
      <c r="U41" s="134">
        <v>400</v>
      </c>
      <c r="V41" s="244">
        <f>'Q - CFS Historical'!R39</f>
        <v>3200</v>
      </c>
      <c r="W41" s="328"/>
      <c r="X41" s="328"/>
      <c r="Y41" s="328"/>
      <c r="Z41" s="328"/>
      <c r="AA41" s="328"/>
      <c r="AC41" s="304"/>
      <c r="AD41" s="304"/>
      <c r="AE41" s="304"/>
      <c r="AF41" s="304"/>
      <c r="AG41" s="304"/>
      <c r="AH41" s="304"/>
      <c r="AI41" s="304"/>
      <c r="AJ41" s="305"/>
      <c r="AK41" s="306"/>
      <c r="AL41" s="306"/>
      <c r="AM41" s="306"/>
      <c r="AN41" s="306"/>
      <c r="AO41" s="306"/>
    </row>
    <row r="42" spans="1:41" ht="19.5" customHeight="1">
      <c r="A42" s="366" t="s">
        <v>201</v>
      </c>
      <c r="B42" s="367"/>
      <c r="C42" s="367"/>
      <c r="D42" s="368">
        <f t="shared" ref="D42:V42" si="4">SUM(D36:D41)</f>
        <v>-24408</v>
      </c>
      <c r="E42" s="368">
        <f t="shared" si="4"/>
        <v>-61362</v>
      </c>
      <c r="F42" s="368">
        <f t="shared" si="4"/>
        <v>-69757</v>
      </c>
      <c r="G42" s="369">
        <f t="shared" si="4"/>
        <v>-16568</v>
      </c>
      <c r="H42" s="369">
        <f t="shared" si="4"/>
        <v>-17835</v>
      </c>
      <c r="I42" s="369">
        <f t="shared" si="4"/>
        <v>-18382</v>
      </c>
      <c r="J42" s="369">
        <f t="shared" si="4"/>
        <v>-19308</v>
      </c>
      <c r="K42" s="368">
        <f t="shared" si="4"/>
        <v>-72093</v>
      </c>
      <c r="L42" s="369">
        <f t="shared" si="4"/>
        <v>-19714</v>
      </c>
      <c r="M42" s="369">
        <f t="shared" si="4"/>
        <v>-20889</v>
      </c>
      <c r="N42" s="369">
        <f t="shared" si="4"/>
        <v>-20094</v>
      </c>
      <c r="O42" s="369">
        <f t="shared" si="4"/>
        <v>-19036</v>
      </c>
      <c r="P42" s="368">
        <f t="shared" si="4"/>
        <v>-79733</v>
      </c>
      <c r="Q42" s="369">
        <f t="shared" si="4"/>
        <v>-20201</v>
      </c>
      <c r="R42" s="369">
        <f t="shared" si="4"/>
        <v>-5832</v>
      </c>
      <c r="S42" s="369">
        <f t="shared" si="4"/>
        <v>-18383</v>
      </c>
      <c r="T42" s="369">
        <f t="shared" si="4"/>
        <v>7028</v>
      </c>
      <c r="U42" s="368">
        <f t="shared" si="4"/>
        <v>-37388</v>
      </c>
      <c r="V42" s="369">
        <f t="shared" si="4"/>
        <v>25077</v>
      </c>
      <c r="W42" s="370"/>
      <c r="X42" s="370"/>
      <c r="Y42" s="370"/>
      <c r="Z42" s="370"/>
      <c r="AA42" s="370"/>
      <c r="AC42" s="296"/>
      <c r="AD42" s="296"/>
      <c r="AE42" s="296"/>
      <c r="AF42" s="296"/>
      <c r="AG42" s="296"/>
      <c r="AH42" s="296"/>
      <c r="AI42" s="296"/>
      <c r="AJ42" s="296"/>
      <c r="AK42" s="297"/>
      <c r="AL42" s="297"/>
      <c r="AM42" s="297"/>
      <c r="AN42" s="297"/>
      <c r="AO42" s="297"/>
    </row>
    <row r="43" spans="1:41" ht="19.5" customHeight="1">
      <c r="A43" s="331" t="s">
        <v>202</v>
      </c>
      <c r="D43" s="313">
        <v>24</v>
      </c>
      <c r="E43" s="313">
        <v>-287</v>
      </c>
      <c r="F43" s="313">
        <v>-506</v>
      </c>
      <c r="G43" s="314">
        <f>'Q - CFS Historical'!C41</f>
        <v>50</v>
      </c>
      <c r="H43" s="314">
        <f>'Q - CFS Historical'!D41</f>
        <v>-26</v>
      </c>
      <c r="I43" s="314">
        <f>'Q - CFS Historical'!E41</f>
        <v>-351</v>
      </c>
      <c r="J43" s="314">
        <f>'Q - CFS Historical'!F41</f>
        <v>-94</v>
      </c>
      <c r="K43" s="313">
        <v>-421</v>
      </c>
      <c r="L43" s="314">
        <f>'Q - CFS Historical'!H41</f>
        <v>-125</v>
      </c>
      <c r="M43" s="314">
        <f>'Q - CFS Historical'!I41</f>
        <v>-238</v>
      </c>
      <c r="N43" s="314">
        <f>'Q - CFS Historical'!J41</f>
        <v>141</v>
      </c>
      <c r="O43" s="314">
        <f>'Q - CFS Historical'!K41</f>
        <v>-390</v>
      </c>
      <c r="P43" s="313">
        <v>-612</v>
      </c>
      <c r="Q43" s="314">
        <f>'Q - CFS Historical'!M41</f>
        <v>43</v>
      </c>
      <c r="R43" s="314">
        <f>'Q - CFS Historical'!N41</f>
        <v>401</v>
      </c>
      <c r="S43" s="314">
        <f>'Q - CFS Historical'!O41</f>
        <v>-200</v>
      </c>
      <c r="T43" s="314">
        <f>'Q - CFS Historical'!P41</f>
        <v>-36</v>
      </c>
      <c r="U43" s="313">
        <v>208</v>
      </c>
      <c r="V43" s="314">
        <f>'Q - CFS Historical'!R41</f>
        <v>-123</v>
      </c>
      <c r="W43" s="328"/>
      <c r="X43" s="328"/>
      <c r="Y43" s="328"/>
      <c r="Z43" s="328"/>
      <c r="AA43" s="328"/>
      <c r="AC43" s="315"/>
      <c r="AD43" s="315"/>
      <c r="AE43" s="315"/>
      <c r="AF43" s="315"/>
      <c r="AG43" s="315"/>
      <c r="AH43" s="315"/>
      <c r="AI43" s="315"/>
      <c r="AJ43" s="305"/>
      <c r="AK43" s="306"/>
      <c r="AL43" s="306"/>
      <c r="AM43" s="306"/>
      <c r="AN43" s="306"/>
      <c r="AO43" s="306"/>
    </row>
    <row r="44" spans="1:41" ht="19.5" customHeight="1">
      <c r="A44" s="331"/>
      <c r="D44" s="313"/>
      <c r="E44" s="313"/>
      <c r="F44" s="313"/>
      <c r="G44" s="322"/>
      <c r="H44" s="322"/>
      <c r="I44" s="322"/>
      <c r="J44" s="322"/>
      <c r="K44" s="313"/>
      <c r="L44" s="322"/>
      <c r="M44" s="322"/>
      <c r="N44" s="322"/>
      <c r="O44" s="322"/>
      <c r="P44" s="313"/>
      <c r="Q44" s="322"/>
      <c r="R44" s="322"/>
      <c r="S44" s="322"/>
      <c r="T44" s="322"/>
      <c r="U44" s="313"/>
      <c r="V44" s="322"/>
      <c r="W44" s="328"/>
      <c r="X44" s="328"/>
      <c r="Y44" s="328"/>
      <c r="Z44" s="328"/>
      <c r="AA44" s="328"/>
      <c r="AC44" s="308"/>
      <c r="AD44" s="308"/>
      <c r="AE44" s="308"/>
      <c r="AF44" s="308"/>
      <c r="AG44" s="308"/>
      <c r="AH44" s="308"/>
      <c r="AI44" s="308"/>
      <c r="AJ44" s="308"/>
    </row>
    <row r="45" spans="1:41" ht="19.5" customHeight="1">
      <c r="A45" s="332" t="s">
        <v>203</v>
      </c>
      <c r="B45" s="330"/>
      <c r="C45" s="330"/>
      <c r="D45" s="333"/>
      <c r="E45" s="333"/>
      <c r="F45" s="333"/>
      <c r="G45" s="334"/>
      <c r="H45" s="334"/>
      <c r="I45" s="334"/>
      <c r="J45" s="334"/>
      <c r="K45" s="333"/>
      <c r="L45" s="334"/>
      <c r="M45" s="334"/>
      <c r="N45" s="334"/>
      <c r="O45" s="334"/>
      <c r="P45" s="333"/>
      <c r="Q45" s="334"/>
      <c r="R45" s="334"/>
      <c r="S45" s="334"/>
      <c r="T45" s="334"/>
      <c r="U45" s="333"/>
      <c r="V45" s="334"/>
      <c r="W45" s="335"/>
      <c r="X45" s="335"/>
      <c r="Y45" s="335"/>
      <c r="Z45" s="335"/>
      <c r="AA45" s="335"/>
      <c r="AC45" s="308"/>
      <c r="AD45" s="308"/>
      <c r="AE45" s="308"/>
      <c r="AF45" s="308"/>
      <c r="AG45" s="308"/>
      <c r="AH45" s="308"/>
      <c r="AI45" s="308"/>
      <c r="AJ45" s="308"/>
    </row>
    <row r="46" spans="1:41" ht="19.5" customHeight="1">
      <c r="A46" s="336"/>
      <c r="B46" s="278" t="s">
        <v>204</v>
      </c>
      <c r="D46" s="361">
        <f t="shared" ref="D46:V46" si="5">D23+D33+D42+D43</f>
        <v>7967</v>
      </c>
      <c r="E46" s="361">
        <f t="shared" si="5"/>
        <v>-5520</v>
      </c>
      <c r="F46" s="361">
        <f t="shared" si="5"/>
        <v>934</v>
      </c>
      <c r="G46" s="297">
        <f t="shared" si="5"/>
        <v>4045</v>
      </c>
      <c r="H46" s="297">
        <f t="shared" si="5"/>
        <v>5</v>
      </c>
      <c r="I46" s="297">
        <f t="shared" si="5"/>
        <v>4773</v>
      </c>
      <c r="J46" s="297">
        <f t="shared" si="5"/>
        <v>-6654</v>
      </c>
      <c r="K46" s="361">
        <f t="shared" si="5"/>
        <v>2169</v>
      </c>
      <c r="L46" s="297">
        <f t="shared" si="5"/>
        <v>445</v>
      </c>
      <c r="M46" s="297">
        <f t="shared" si="5"/>
        <v>2732</v>
      </c>
      <c r="N46" s="297">
        <f t="shared" si="5"/>
        <v>-7266</v>
      </c>
      <c r="O46" s="297">
        <f t="shared" si="5"/>
        <v>3507</v>
      </c>
      <c r="P46" s="361">
        <f t="shared" si="5"/>
        <v>-582</v>
      </c>
      <c r="Q46" s="297">
        <f t="shared" si="5"/>
        <v>-202</v>
      </c>
      <c r="R46" s="297">
        <f t="shared" si="5"/>
        <v>-2228</v>
      </c>
      <c r="S46" s="297">
        <f t="shared" si="5"/>
        <v>2054</v>
      </c>
      <c r="T46" s="297">
        <f t="shared" si="5"/>
        <v>7618</v>
      </c>
      <c r="U46" s="361">
        <f t="shared" si="5"/>
        <v>7242</v>
      </c>
      <c r="V46" s="297">
        <f t="shared" si="5"/>
        <v>7355</v>
      </c>
      <c r="W46" s="328"/>
      <c r="X46" s="328"/>
      <c r="Y46" s="328"/>
      <c r="Z46" s="328"/>
      <c r="AA46" s="328"/>
      <c r="AC46" s="296"/>
      <c r="AD46" s="296"/>
      <c r="AE46" s="296"/>
      <c r="AF46" s="296"/>
      <c r="AG46" s="296"/>
      <c r="AH46" s="296"/>
      <c r="AI46" s="296"/>
      <c r="AJ46" s="296"/>
      <c r="AK46" s="297"/>
      <c r="AL46" s="297"/>
      <c r="AM46" s="297"/>
      <c r="AN46" s="297"/>
      <c r="AO46" s="297"/>
    </row>
    <row r="47" spans="1:41" ht="19.5" customHeight="1">
      <c r="B47" s="278" t="s">
        <v>205</v>
      </c>
      <c r="D47" s="313">
        <v>18498</v>
      </c>
      <c r="E47" s="313">
        <f>D48</f>
        <v>26465</v>
      </c>
      <c r="F47" s="313">
        <f>E48</f>
        <v>20945</v>
      </c>
      <c r="G47" s="314">
        <f>'Q - CFS Historical'!C44</f>
        <v>21879</v>
      </c>
      <c r="H47" s="314">
        <f>'Q - CFS Historical'!D44</f>
        <v>25924</v>
      </c>
      <c r="I47" s="314">
        <f>'Q - CFS Historical'!E44</f>
        <v>25929</v>
      </c>
      <c r="J47" s="314">
        <f>'Q - CFS Historical'!F44</f>
        <v>30702</v>
      </c>
      <c r="K47" s="313">
        <f>F48</f>
        <v>21879</v>
      </c>
      <c r="L47" s="314">
        <f>'Q - CFS Historical'!H44</f>
        <v>24048</v>
      </c>
      <c r="M47" s="314">
        <f>'Q - CFS Historical'!I44</f>
        <v>24493</v>
      </c>
      <c r="N47" s="314">
        <f>'Q - CFS Historical'!J44</f>
        <v>27225</v>
      </c>
      <c r="O47" s="314">
        <f>'Q - CFS Historical'!K44</f>
        <v>19959</v>
      </c>
      <c r="P47" s="313">
        <f>K48</f>
        <v>24048</v>
      </c>
      <c r="Q47" s="314">
        <f>'Q - CFS Historical'!M44</f>
        <v>23466</v>
      </c>
      <c r="R47" s="314">
        <f>'Q - CFS Historical'!N44</f>
        <v>23264</v>
      </c>
      <c r="S47" s="314">
        <f>'Q - CFS Historical'!O44</f>
        <v>21036</v>
      </c>
      <c r="T47" s="314">
        <f>'Q - CFS Historical'!P44</f>
        <v>23090</v>
      </c>
      <c r="U47" s="313">
        <f>P48</f>
        <v>23466</v>
      </c>
      <c r="V47" s="314">
        <f>'Q - CFS Historical'!R44</f>
        <v>30708</v>
      </c>
      <c r="W47" s="328"/>
      <c r="X47" s="328"/>
      <c r="Y47" s="328"/>
      <c r="Z47" s="328"/>
      <c r="AA47" s="328"/>
      <c r="AC47" s="315"/>
      <c r="AD47" s="315"/>
      <c r="AE47" s="315"/>
      <c r="AF47" s="315"/>
      <c r="AG47" s="315"/>
      <c r="AH47" s="315"/>
      <c r="AI47" s="315"/>
      <c r="AJ47" s="305"/>
      <c r="AK47" s="306"/>
      <c r="AL47" s="306"/>
      <c r="AM47" s="306"/>
      <c r="AN47" s="306"/>
      <c r="AO47" s="306"/>
    </row>
    <row r="48" spans="1:41" ht="19.5" customHeight="1">
      <c r="A48" s="337" t="s">
        <v>206</v>
      </c>
      <c r="B48" s="338"/>
      <c r="C48" s="338"/>
      <c r="D48" s="339">
        <f t="shared" ref="D48:V48" si="6">D47+D46</f>
        <v>26465</v>
      </c>
      <c r="E48" s="339">
        <f t="shared" si="6"/>
        <v>20945</v>
      </c>
      <c r="F48" s="339">
        <f t="shared" si="6"/>
        <v>21879</v>
      </c>
      <c r="G48" s="340">
        <f t="shared" si="6"/>
        <v>25924</v>
      </c>
      <c r="H48" s="340">
        <f t="shared" si="6"/>
        <v>25929</v>
      </c>
      <c r="I48" s="340">
        <f t="shared" si="6"/>
        <v>30702</v>
      </c>
      <c r="J48" s="340">
        <f t="shared" si="6"/>
        <v>24048</v>
      </c>
      <c r="K48" s="339">
        <f t="shared" si="6"/>
        <v>24048</v>
      </c>
      <c r="L48" s="340">
        <f t="shared" si="6"/>
        <v>24493</v>
      </c>
      <c r="M48" s="340">
        <f t="shared" si="6"/>
        <v>27225</v>
      </c>
      <c r="N48" s="340">
        <f t="shared" si="6"/>
        <v>19959</v>
      </c>
      <c r="O48" s="340">
        <f t="shared" si="6"/>
        <v>23466</v>
      </c>
      <c r="P48" s="339">
        <f t="shared" si="6"/>
        <v>23466</v>
      </c>
      <c r="Q48" s="340">
        <f t="shared" si="6"/>
        <v>23264</v>
      </c>
      <c r="R48" s="340">
        <f t="shared" si="6"/>
        <v>21036</v>
      </c>
      <c r="S48" s="340">
        <f t="shared" si="6"/>
        <v>23090</v>
      </c>
      <c r="T48" s="340">
        <f t="shared" si="6"/>
        <v>30708</v>
      </c>
      <c r="U48" s="339">
        <f t="shared" si="6"/>
        <v>30708</v>
      </c>
      <c r="V48" s="340">
        <f t="shared" si="6"/>
        <v>38063</v>
      </c>
      <c r="W48" s="371"/>
      <c r="X48" s="371"/>
      <c r="Y48" s="371"/>
      <c r="Z48" s="371"/>
      <c r="AA48" s="371"/>
      <c r="AC48" s="296"/>
      <c r="AD48" s="296"/>
      <c r="AE48" s="296"/>
      <c r="AF48" s="296"/>
      <c r="AG48" s="296"/>
      <c r="AH48" s="296"/>
      <c r="AI48" s="296"/>
      <c r="AJ48" s="296"/>
      <c r="AK48" s="297"/>
      <c r="AL48" s="297"/>
      <c r="AM48" s="297"/>
      <c r="AN48" s="297"/>
      <c r="AO48" s="297"/>
    </row>
    <row r="49" spans="29:35" ht="25.5" customHeight="1">
      <c r="AC49" s="342"/>
      <c r="AD49" s="283"/>
      <c r="AE49" s="283"/>
      <c r="AF49" s="283"/>
      <c r="AG49" s="283"/>
      <c r="AH49" s="283"/>
      <c r="AI49" s="283"/>
    </row>
    <row r="50" spans="29:35" ht="25.5" customHeight="1">
      <c r="AC50" s="327"/>
      <c r="AD50" s="343"/>
      <c r="AE50" s="344"/>
      <c r="AF50" s="343"/>
      <c r="AG50" s="327"/>
      <c r="AH50" s="327"/>
      <c r="AI50" s="327"/>
    </row>
  </sheetData>
  <mergeCells count="1">
    <mergeCell ref="A5:C5"/>
  </mergeCells>
  <pageMargins left="0.7" right="0.7" top="0.75" bottom="0.75" header="0.511811023622047" footer="0.511811023622047"/>
  <pageSetup orientation="portrait" horizontalDpi="300" verticalDpi="30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C1B23"/>
  </sheetPr>
  <dimension ref="A1:AR36"/>
  <sheetViews>
    <sheetView showGridLines="0" tabSelected="1" zoomScale="70" zoomScaleNormal="70" workbookViewId="0">
      <pane xSplit="3" ySplit="5" topLeftCell="R13" activePane="bottomRight" state="frozen"/>
      <selection pane="bottomRight" activeCell="AF29" sqref="AF29"/>
      <selection pane="bottomLeft" activeCell="A6" sqref="A6"/>
      <selection pane="topRight" activeCell="W1" sqref="W1"/>
    </sheetView>
  </sheetViews>
  <sheetFormatPr defaultColWidth="9" defaultRowHeight="15"/>
  <cols>
    <col min="1" max="1" width="2" style="278" customWidth="1"/>
    <col min="2" max="2" width="9" style="278"/>
    <col min="3" max="3" width="19.625" style="278" customWidth="1"/>
    <col min="4" max="4" width="10" style="278" customWidth="1"/>
    <col min="5" max="31" width="11.125" style="278" customWidth="1"/>
    <col min="32" max="32" width="8.625" style="278" customWidth="1"/>
    <col min="33" max="16384" width="9" style="278"/>
  </cols>
  <sheetData>
    <row r="1" spans="1:44" ht="15.75" customHeight="1">
      <c r="U1" s="72" t="s">
        <v>50</v>
      </c>
    </row>
    <row r="2" spans="1:44" ht="14.25" customHeight="1">
      <c r="U2" s="73" t="s">
        <v>51</v>
      </c>
    </row>
    <row r="3" spans="1:44" ht="15" customHeight="1">
      <c r="U3" s="223" t="s">
        <v>52</v>
      </c>
    </row>
    <row r="4" spans="1:44" ht="10.5" customHeight="1"/>
    <row r="5" spans="1:44" ht="25.5" customHeight="1">
      <c r="A5" s="752" t="s">
        <v>168</v>
      </c>
      <c r="B5" s="752"/>
      <c r="C5" s="752"/>
      <c r="D5" s="279">
        <v>2020</v>
      </c>
      <c r="E5" s="279">
        <v>2021</v>
      </c>
      <c r="F5" s="279">
        <v>2022</v>
      </c>
      <c r="G5" s="280" t="s">
        <v>26</v>
      </c>
      <c r="H5" s="280" t="s">
        <v>27</v>
      </c>
      <c r="I5" s="280" t="s">
        <v>28</v>
      </c>
      <c r="J5" s="280" t="s">
        <v>29</v>
      </c>
      <c r="K5" s="279">
        <v>2023</v>
      </c>
      <c r="L5" s="280" t="s">
        <v>30</v>
      </c>
      <c r="M5" s="280" t="s">
        <v>31</v>
      </c>
      <c r="N5" s="280" t="s">
        <v>32</v>
      </c>
      <c r="O5" s="280" t="s">
        <v>33</v>
      </c>
      <c r="P5" s="279">
        <v>2024</v>
      </c>
      <c r="Q5" s="280" t="s">
        <v>34</v>
      </c>
      <c r="R5" s="280" t="s">
        <v>35</v>
      </c>
      <c r="S5" s="280" t="s">
        <v>36</v>
      </c>
      <c r="T5" s="280" t="s">
        <v>37</v>
      </c>
      <c r="U5" s="279">
        <v>2025</v>
      </c>
      <c r="V5" s="280" t="s">
        <v>38</v>
      </c>
      <c r="W5" s="281" t="s">
        <v>58</v>
      </c>
      <c r="X5" s="281" t="s">
        <v>59</v>
      </c>
      <c r="Y5" s="281" t="s">
        <v>60</v>
      </c>
      <c r="Z5" s="281">
        <v>2026</v>
      </c>
      <c r="AA5" s="281">
        <v>2027</v>
      </c>
      <c r="AB5" s="281">
        <v>2028</v>
      </c>
      <c r="AC5" s="281">
        <v>2029</v>
      </c>
      <c r="AD5" s="281">
        <v>2030</v>
      </c>
      <c r="AE5" s="281">
        <v>2031</v>
      </c>
      <c r="AF5" s="282"/>
      <c r="AG5" s="283"/>
      <c r="AH5" s="283"/>
      <c r="AI5" s="283"/>
      <c r="AJ5" s="284"/>
      <c r="AK5" s="283"/>
      <c r="AL5" s="283"/>
      <c r="AN5" s="285"/>
      <c r="AR5" s="285"/>
    </row>
    <row r="6" spans="1:44" ht="19.5" customHeight="1">
      <c r="A6" s="286"/>
      <c r="B6" s="287"/>
      <c r="C6" s="287"/>
      <c r="D6" s="288"/>
      <c r="E6" s="288"/>
      <c r="F6" s="288"/>
      <c r="G6" s="289"/>
      <c r="H6" s="289"/>
      <c r="I6" s="289"/>
      <c r="J6" s="289"/>
      <c r="K6" s="288"/>
      <c r="L6" s="289"/>
      <c r="M6" s="289"/>
      <c r="N6" s="289"/>
      <c r="O6" s="289"/>
      <c r="P6" s="288"/>
      <c r="Q6" s="289"/>
      <c r="R6" s="289"/>
      <c r="S6" s="289"/>
      <c r="T6" s="289"/>
      <c r="U6" s="288"/>
      <c r="V6" s="289"/>
      <c r="W6" s="290"/>
      <c r="X6" s="290"/>
      <c r="Y6" s="290"/>
      <c r="Z6" s="290"/>
      <c r="AA6" s="290"/>
      <c r="AB6" s="290"/>
      <c r="AC6" s="290"/>
      <c r="AD6" s="290"/>
      <c r="AE6" s="290"/>
      <c r="AF6" s="291"/>
      <c r="AG6" s="291"/>
      <c r="AH6" s="291"/>
      <c r="AI6" s="291"/>
      <c r="AJ6" s="291"/>
      <c r="AK6" s="291"/>
      <c r="AL6" s="291"/>
      <c r="AM6" s="292"/>
      <c r="AN6" s="292"/>
      <c r="AO6" s="292"/>
      <c r="AP6" s="292"/>
      <c r="AQ6" s="292"/>
      <c r="AR6" s="292"/>
    </row>
    <row r="7" spans="1:44" ht="19.5" customHeight="1">
      <c r="A7" s="293" t="s">
        <v>207</v>
      </c>
      <c r="B7" s="294"/>
      <c r="C7" s="294"/>
      <c r="D7" s="191">
        <f t="shared" ref="D7:U7" si="0">D8+D9+D10+D11</f>
        <v>66957</v>
      </c>
      <c r="E7" s="191">
        <f t="shared" si="0"/>
        <v>100378</v>
      </c>
      <c r="F7" s="191">
        <f t="shared" si="0"/>
        <v>97769</v>
      </c>
      <c r="G7" s="295">
        <f t="shared" si="0"/>
        <v>27225</v>
      </c>
      <c r="H7" s="295">
        <f t="shared" si="0"/>
        <v>32821</v>
      </c>
      <c r="I7" s="295">
        <f t="shared" si="0"/>
        <v>31899</v>
      </c>
      <c r="J7" s="295">
        <f t="shared" ca="1" si="0"/>
        <v>130580.86349516849</v>
      </c>
      <c r="K7" s="191">
        <f t="shared" si="0"/>
        <v>111134</v>
      </c>
      <c r="L7" s="295">
        <f t="shared" si="0"/>
        <v>30755</v>
      </c>
      <c r="M7" s="295">
        <f t="shared" si="0"/>
        <v>30219</v>
      </c>
      <c r="N7" s="295">
        <f t="shared" si="0"/>
        <v>35981</v>
      </c>
      <c r="O7" s="295">
        <f t="shared" si="0"/>
        <v>41127</v>
      </c>
      <c r="P7" s="191">
        <f t="shared" si="0"/>
        <v>138082</v>
      </c>
      <c r="Q7" s="295">
        <f t="shared" si="0"/>
        <v>48405</v>
      </c>
      <c r="R7" s="295">
        <f t="shared" si="0"/>
        <v>30504</v>
      </c>
      <c r="S7" s="295">
        <f t="shared" si="0"/>
        <v>54815</v>
      </c>
      <c r="T7" s="295">
        <f t="shared" si="0"/>
        <v>47017</v>
      </c>
      <c r="U7" s="191">
        <f t="shared" si="0"/>
        <v>180741</v>
      </c>
      <c r="V7" s="295">
        <f>V8+V9+V10+V11+V13</f>
        <v>76536</v>
      </c>
      <c r="W7" s="670">
        <f t="shared" ref="W7:AE7" ca="1" si="1">W8+W9+W10+W11+W13</f>
        <v>44990.094664659067</v>
      </c>
      <c r="X7" s="670">
        <f t="shared" ca="1" si="1"/>
        <v>60755.304761300707</v>
      </c>
      <c r="Y7" s="670">
        <f t="shared" ca="1" si="1"/>
        <v>72782.308279670542</v>
      </c>
      <c r="Z7" s="670">
        <f t="shared" ca="1" si="1"/>
        <v>255063.70770563034</v>
      </c>
      <c r="AA7" s="670">
        <f t="shared" ca="1" si="1"/>
        <v>267945.48187051824</v>
      </c>
      <c r="AB7" s="670">
        <f t="shared" ca="1" si="1"/>
        <v>320752.25696914206</v>
      </c>
      <c r="AC7" s="670">
        <f t="shared" ca="1" si="1"/>
        <v>382998.40748678613</v>
      </c>
      <c r="AD7" s="670">
        <f t="shared" ca="1" si="1"/>
        <v>427570.47750207951</v>
      </c>
      <c r="AE7" s="670">
        <f t="shared" ca="1" si="1"/>
        <v>470177.1166899376</v>
      </c>
      <c r="AF7" s="296"/>
      <c r="AG7" s="296"/>
      <c r="AH7" s="296"/>
      <c r="AI7" s="296"/>
      <c r="AJ7" s="296"/>
      <c r="AK7" s="296"/>
      <c r="AL7" s="296"/>
      <c r="AM7" s="296"/>
      <c r="AN7" s="297"/>
      <c r="AO7" s="297"/>
      <c r="AP7" s="297"/>
      <c r="AQ7" s="297"/>
      <c r="AR7" s="297"/>
    </row>
    <row r="8" spans="1:44" ht="19.5" customHeight="1">
      <c r="A8" s="298" t="s">
        <v>78</v>
      </c>
      <c r="B8" s="299"/>
      <c r="C8" s="299"/>
      <c r="D8" s="300">
        <f>'Income Statement'!D29</f>
        <v>40269</v>
      </c>
      <c r="E8" s="301">
        <f>'Income Statement'!E29</f>
        <v>76033</v>
      </c>
      <c r="F8" s="301">
        <f>'Income Statement'!J29</f>
        <v>59972</v>
      </c>
      <c r="G8" s="302">
        <f>'Q - CFS Indirect'!C6</f>
        <v>15051</v>
      </c>
      <c r="H8" s="302">
        <f>'Q - CFS Indirect'!D6</f>
        <v>18368</v>
      </c>
      <c r="I8" s="302">
        <f>'Q - CFS Indirect'!E6</f>
        <v>19689</v>
      </c>
      <c r="J8" s="302">
        <f>'Q - CFS Indirect'!F6</f>
        <v>20687</v>
      </c>
      <c r="K8" s="301">
        <f>'Income Statement'!O29</f>
        <v>73795</v>
      </c>
      <c r="L8" s="302">
        <f>'Q - CFS Indirect'!H6</f>
        <v>23662</v>
      </c>
      <c r="M8" s="302">
        <f>'Q - CFS Indirect'!I6</f>
        <v>23619</v>
      </c>
      <c r="N8" s="302">
        <f>'Q - CFS Indirect'!J6</f>
        <v>26301</v>
      </c>
      <c r="O8" s="302">
        <f>'Q - CFS Indirect'!K6</f>
        <v>26536</v>
      </c>
      <c r="P8" s="301">
        <f>'Income Statement'!T29</f>
        <v>100118</v>
      </c>
      <c r="Q8" s="302">
        <f>'Q - CFS Indirect'!M6</f>
        <v>34540</v>
      </c>
      <c r="R8" s="302">
        <f>'Q - CFS Indirect'!N6</f>
        <v>28196</v>
      </c>
      <c r="S8" s="302">
        <f>'Q - CFS Indirect'!O6</f>
        <v>34979</v>
      </c>
      <c r="T8" s="302">
        <f>'Q - CFS Indirect'!P6</f>
        <v>34455</v>
      </c>
      <c r="U8" s="301">
        <f>'Income Statement'!Y29</f>
        <v>132170</v>
      </c>
      <c r="V8" s="302">
        <f>'Q - CFS Indirect'!R6</f>
        <v>62578</v>
      </c>
      <c r="W8" s="303">
        <f ca="1">'Income Statement'!AA29</f>
        <v>39838.527614123843</v>
      </c>
      <c r="X8" s="303">
        <f ca="1">'Income Statement'!AB29</f>
        <v>43478.557625262045</v>
      </c>
      <c r="Y8" s="303">
        <f ca="1">'Income Statement'!AC29</f>
        <v>53217.757641256452</v>
      </c>
      <c r="Z8" s="303">
        <f ca="1">'Income Statement'!AD29</f>
        <v>199112.84288064236</v>
      </c>
      <c r="AA8" s="303">
        <f ca="1">'Income Statement'!AE29</f>
        <v>196504.42358828179</v>
      </c>
      <c r="AB8" s="303">
        <f ca="1">'Income Statement'!AF29</f>
        <v>235566.58051369889</v>
      </c>
      <c r="AC8" s="303">
        <f ca="1">'Income Statement'!AG29</f>
        <v>286545.43798371754</v>
      </c>
      <c r="AD8" s="303">
        <f ca="1">'Income Statement'!AH29</f>
        <v>317377.02275460958</v>
      </c>
      <c r="AE8" s="303">
        <f ca="1">'Income Statement'!AI29</f>
        <v>349467.7467410898</v>
      </c>
      <c r="AF8" s="304"/>
      <c r="AG8" s="304"/>
      <c r="AH8" s="304"/>
      <c r="AI8" s="304"/>
      <c r="AJ8" s="304"/>
      <c r="AK8" s="304"/>
      <c r="AL8" s="304"/>
      <c r="AM8" s="305"/>
      <c r="AN8" s="306"/>
      <c r="AO8" s="306"/>
      <c r="AP8" s="306"/>
      <c r="AQ8" s="306"/>
      <c r="AR8" s="306"/>
    </row>
    <row r="9" spans="1:44" ht="19.5" customHeight="1">
      <c r="A9" s="307" t="s">
        <v>208</v>
      </c>
      <c r="B9" s="308"/>
      <c r="C9" s="308"/>
      <c r="D9" s="309">
        <f>12905+792</f>
        <v>13697</v>
      </c>
      <c r="E9" s="309">
        <f>11555+886</f>
        <v>12441</v>
      </c>
      <c r="F9" s="309">
        <f>15287+641</f>
        <v>15928</v>
      </c>
      <c r="G9" s="310">
        <f>'Q - CFS Indirect'!C7</f>
        <v>3186</v>
      </c>
      <c r="H9" s="310">
        <f>'Q - CFS Indirect'!D7</f>
        <v>3397</v>
      </c>
      <c r="I9" s="310">
        <f>'Q - CFS Indirect'!E7</f>
        <v>3800</v>
      </c>
      <c r="J9" s="310">
        <f>'Q - CFS Indirect'!F7</f>
        <v>1563</v>
      </c>
      <c r="K9" s="309">
        <v>11946</v>
      </c>
      <c r="L9" s="310">
        <f>'Q - CFS Indirect'!H7</f>
        <v>3413</v>
      </c>
      <c r="M9" s="310">
        <f>'Q - CFS Indirect'!I7</f>
        <v>3708</v>
      </c>
      <c r="N9" s="310">
        <f>'Q - CFS Indirect'!J7</f>
        <v>3985</v>
      </c>
      <c r="O9" s="310">
        <f>'Q - CFS Indirect'!K7</f>
        <v>4205</v>
      </c>
      <c r="P9" s="309">
        <v>15311</v>
      </c>
      <c r="Q9" s="310">
        <f>'Q - CFS Indirect'!M7</f>
        <v>4487</v>
      </c>
      <c r="R9" s="310">
        <f>'Q - CFS Indirect'!N7</f>
        <v>4998</v>
      </c>
      <c r="S9" s="310">
        <f>'Q - CFS Indirect'!O7</f>
        <v>5611</v>
      </c>
      <c r="T9" s="310">
        <f>'Q - CFS Indirect'!P7</f>
        <v>6040</v>
      </c>
      <c r="U9" s="309">
        <v>21136</v>
      </c>
      <c r="V9" s="310">
        <f>'Q - CFS Indirect'!R7</f>
        <v>6482</v>
      </c>
      <c r="W9" s="311">
        <f>'CapEx &amp; D&amp;A '!W6</f>
        <v>5975.5482286500001</v>
      </c>
      <c r="X9" s="311">
        <f>'CapEx &amp; D&amp;A '!X6</f>
        <v>6741.6759879969504</v>
      </c>
      <c r="Y9" s="311">
        <f>'CapEx &amp; D&amp;A '!Y6</f>
        <v>7670.4292993719901</v>
      </c>
      <c r="Z9" s="311">
        <f>'CapEx &amp; D&amp;A '!Z6</f>
        <v>26869.653516018941</v>
      </c>
      <c r="AA9" s="311">
        <f>'CapEx &amp; D&amp;A '!AA6</f>
        <v>31646.229610813079</v>
      </c>
      <c r="AB9" s="311">
        <f>'CapEx &amp; D&amp;A '!AB6</f>
        <v>37489.352056643016</v>
      </c>
      <c r="AC9" s="311">
        <f>'CapEx &amp; D&amp;A '!AC6</f>
        <v>43046.211637374698</v>
      </c>
      <c r="AD9" s="311">
        <f>'CapEx &amp; D&amp;A '!AD6</f>
        <v>48451.581434778003</v>
      </c>
      <c r="AE9" s="311">
        <f>'CapEx &amp; D&amp;A '!AE6</f>
        <v>53395.394303324487</v>
      </c>
      <c r="AF9" s="304"/>
      <c r="AG9" s="304"/>
      <c r="AH9" s="304"/>
      <c r="AI9" s="304"/>
      <c r="AJ9" s="304"/>
      <c r="AK9" s="304"/>
      <c r="AL9" s="304"/>
      <c r="AM9" s="305"/>
      <c r="AN9" s="306"/>
      <c r="AO9" s="306"/>
      <c r="AP9" s="306"/>
      <c r="AQ9" s="306"/>
      <c r="AR9" s="306"/>
    </row>
    <row r="10" spans="1:44" ht="19.5" customHeight="1">
      <c r="A10" s="312" t="s">
        <v>209</v>
      </c>
      <c r="B10" s="308"/>
      <c r="C10" s="308"/>
      <c r="D10" s="313">
        <f>BS!D43</f>
        <v>0</v>
      </c>
      <c r="E10" s="313">
        <f>-BS!E43</f>
        <v>-3472</v>
      </c>
      <c r="F10" s="313">
        <f>-BS!F43</f>
        <v>2507</v>
      </c>
      <c r="G10" s="314">
        <f>'Q - CFS Indirect'!C8</f>
        <v>3704</v>
      </c>
      <c r="H10" s="314">
        <f>'Q - CFS Indirect'!D8</f>
        <v>5282</v>
      </c>
      <c r="I10" s="314">
        <f>'Q - CFS Indirect'!E8</f>
        <v>2667</v>
      </c>
      <c r="J10" s="314">
        <f ca="1">'CFS - Estimates'!W9+'CFS - Estimates'!X8+'CFS - Estimates'!Y8</f>
        <v>102671.86349516849</v>
      </c>
      <c r="K10" s="313">
        <f>-BS!K43</f>
        <v>2933</v>
      </c>
      <c r="L10" s="314">
        <f>'Q - CFS Indirect'!H8</f>
        <v>-1584</v>
      </c>
      <c r="M10" s="314">
        <f>'Q - CFS Indirect'!I8</f>
        <v>-2973</v>
      </c>
      <c r="N10" s="314">
        <f>'Q - CFS Indirect'!J8</f>
        <v>-151</v>
      </c>
      <c r="O10" s="314">
        <f>'Q - CFS Indirect'!K8</f>
        <v>4576</v>
      </c>
      <c r="P10" s="313">
        <f>-BS!P43</f>
        <v>-132</v>
      </c>
      <c r="Q10" s="314">
        <f>'Q - CFS Indirect'!M8</f>
        <v>3862</v>
      </c>
      <c r="R10" s="314">
        <f>'Q - CFS Indirect'!N8</f>
        <v>-8688</v>
      </c>
      <c r="S10" s="314">
        <f>'Q - CFS Indirect'!O8</f>
        <v>7857</v>
      </c>
      <c r="T10" s="314">
        <f>'Q - CFS Indirect'!P8</f>
        <v>-549</v>
      </c>
      <c r="U10" s="313">
        <f>-BS!U43</f>
        <v>2482</v>
      </c>
      <c r="V10" s="314">
        <f>'Q - CFS Indirect'!R8</f>
        <v>725</v>
      </c>
      <c r="W10" s="311">
        <f>-BS!W43</f>
        <v>-8165.6362140789861</v>
      </c>
      <c r="X10" s="311">
        <f>-BS!X43</f>
        <v>2252.1391769112961</v>
      </c>
      <c r="Y10" s="311">
        <f>-BS!Y43</f>
        <v>2470.1080537432281</v>
      </c>
      <c r="Z10" s="311">
        <f>-BS!Z43</f>
        <v>-2718.3889834244619</v>
      </c>
      <c r="AA10" s="311">
        <f>-BS!AA43</f>
        <v>913.76000603078865</v>
      </c>
      <c r="AB10" s="311">
        <f>-BS!AB43</f>
        <v>1636.3011523858877</v>
      </c>
      <c r="AC10" s="311">
        <f>-BS!AC43</f>
        <v>519.48721636783739</v>
      </c>
      <c r="AD10" s="311">
        <f>-BS!AD43</f>
        <v>2213.4780542318622</v>
      </c>
      <c r="AE10" s="311">
        <f>-BS!AE43</f>
        <v>1711.5320731015236</v>
      </c>
      <c r="AF10" s="315"/>
      <c r="AG10" s="315"/>
      <c r="AH10" s="315"/>
      <c r="AI10" s="315"/>
      <c r="AJ10" s="315"/>
      <c r="AK10" s="315"/>
      <c r="AL10" s="315"/>
      <c r="AM10" s="305"/>
      <c r="AN10" s="306"/>
      <c r="AO10" s="306"/>
      <c r="AP10" s="306"/>
      <c r="AQ10" s="306"/>
      <c r="AR10" s="306"/>
    </row>
    <row r="11" spans="1:44" ht="19.5" customHeight="1">
      <c r="A11" s="312" t="s">
        <v>210</v>
      </c>
      <c r="B11" s="308"/>
      <c r="C11" s="308"/>
      <c r="D11" s="313">
        <v>12991</v>
      </c>
      <c r="E11" s="313">
        <v>15376</v>
      </c>
      <c r="F11" s="313">
        <v>19362</v>
      </c>
      <c r="G11" s="314">
        <f>'Q - CFS Indirect'!C9</f>
        <v>5284</v>
      </c>
      <c r="H11" s="314">
        <f>'Q - CFS Indirect'!D9</f>
        <v>5774</v>
      </c>
      <c r="I11" s="314">
        <f>'Q - CFS Indirect'!E9</f>
        <v>5743</v>
      </c>
      <c r="J11" s="314">
        <f>'Q - CFS Indirect'!F9</f>
        <v>5659</v>
      </c>
      <c r="K11" s="313">
        <v>22460</v>
      </c>
      <c r="L11" s="314">
        <f>'Q - CFS Indirect'!H9</f>
        <v>5264</v>
      </c>
      <c r="M11" s="314">
        <f>'Q - CFS Indirect'!I9</f>
        <v>5865</v>
      </c>
      <c r="N11" s="314">
        <f>'Q - CFS Indirect'!J9</f>
        <v>5846</v>
      </c>
      <c r="O11" s="314">
        <f>'Q - CFS Indirect'!K9</f>
        <v>5810</v>
      </c>
      <c r="P11" s="313">
        <v>22785</v>
      </c>
      <c r="Q11" s="314">
        <f>'Q - CFS Indirect'!M9</f>
        <v>5516</v>
      </c>
      <c r="R11" s="314">
        <f>'Q - CFS Indirect'!N9</f>
        <v>5998</v>
      </c>
      <c r="S11" s="314">
        <f>'Q - CFS Indirect'!O9</f>
        <v>6368</v>
      </c>
      <c r="T11" s="314">
        <f>'Q - CFS Indirect'!P9</f>
        <v>7071</v>
      </c>
      <c r="U11" s="313">
        <v>24953</v>
      </c>
      <c r="V11" s="314">
        <f>'Q - CFS Indirect'!R9</f>
        <v>6751</v>
      </c>
      <c r="W11" s="311">
        <f>W12*'Income Statement'!AA6</f>
        <v>7341.6550359642115</v>
      </c>
      <c r="X11" s="311">
        <f>X12*'Income Statement'!AB6</f>
        <v>8282.9319711304161</v>
      </c>
      <c r="Y11" s="311">
        <f>Y12*'Income Statement'!AC6</f>
        <v>9424.0132852988827</v>
      </c>
      <c r="Z11" s="311">
        <f>Z12*'Income Statement'!AD6</f>
        <v>31799.600292393508</v>
      </c>
      <c r="AA11" s="311">
        <f>AA12*'Income Statement'!AE6</f>
        <v>38881.068665392573</v>
      </c>
      <c r="AB11" s="311">
        <f>AB12*'Income Statement'!AF6</f>
        <v>46060.023246414254</v>
      </c>
      <c r="AC11" s="311">
        <f>AC12*'Income Statement'!AG6</f>
        <v>52887.270649326012</v>
      </c>
      <c r="AD11" s="311">
        <f>AD12*'Income Statement'!AH6</f>
        <v>59528.395258460056</v>
      </c>
      <c r="AE11" s="311">
        <f>AE12*'Income Statement'!AI6</f>
        <v>65602.443572421849</v>
      </c>
      <c r="AF11" s="315"/>
      <c r="AG11" s="315"/>
      <c r="AH11" s="315"/>
      <c r="AI11" s="315"/>
      <c r="AJ11" s="315"/>
      <c r="AK11" s="315"/>
      <c r="AL11" s="315"/>
      <c r="AM11" s="305"/>
      <c r="AN11" s="306"/>
      <c r="AO11" s="306"/>
      <c r="AP11" s="306"/>
      <c r="AQ11" s="306"/>
      <c r="AR11" s="306"/>
    </row>
    <row r="12" spans="1:44" ht="19.5" customHeight="1">
      <c r="A12" s="316"/>
      <c r="B12" s="317" t="s">
        <v>211</v>
      </c>
      <c r="C12" s="308"/>
      <c r="D12" s="155">
        <f>D11/'Income Statement'!D6</f>
        <v>7.1173031935001393E-2</v>
      </c>
      <c r="E12" s="155">
        <f>E11/'Income Statement'!E6</f>
        <v>5.9680868819307786E-2</v>
      </c>
      <c r="F12" s="155">
        <f>F11/'Income Statement'!J6</f>
        <v>6.8456632111895233E-2</v>
      </c>
      <c r="G12" s="318">
        <f>G11/'Q - Income Statement'!H5</f>
        <v>7.5716107584507142E-2</v>
      </c>
      <c r="H12" s="318">
        <f>H11/'Q - Income Statement'!I5</f>
        <v>7.7395313924186374E-2</v>
      </c>
      <c r="I12" s="318">
        <f>I11/'Q - Income Statement'!J5</f>
        <v>7.4882974978159669E-2</v>
      </c>
      <c r="J12" s="318">
        <f>J11/'Q - Income Statement'!K5</f>
        <v>6.5565983084231255E-2</v>
      </c>
      <c r="K12" s="155">
        <f>K11/'Income Statement'!O6</f>
        <v>7.3065837329290742E-2</v>
      </c>
      <c r="L12" s="318">
        <f>L11/'Q - Income Statement'!M5</f>
        <v>6.5359639429344793E-2</v>
      </c>
      <c r="M12" s="318">
        <f>M11/'Q - Income Statement'!N5</f>
        <v>6.9210072927237964E-2</v>
      </c>
      <c r="N12" s="318">
        <f>N11/'Q - Income Statement'!O5</f>
        <v>6.6230117369828256E-2</v>
      </c>
      <c r="O12" s="318">
        <f>O11/'Q - Income Statement'!P5</f>
        <v>6.0226601291606632E-2</v>
      </c>
      <c r="P12" s="155">
        <f>P11/'Income Statement'!T6</f>
        <v>6.5096652172174002E-2</v>
      </c>
      <c r="Q12" s="318">
        <f>Q11/'Q - Income Statement'!R5</f>
        <v>6.1129951016246645E-2</v>
      </c>
      <c r="R12" s="318">
        <f>R11/'Q - Income Statement'!S5</f>
        <v>6.2201850085037542E-2</v>
      </c>
      <c r="S12" s="318">
        <f>S11/'Q - Income Statement'!T5</f>
        <v>6.2220311492388561E-2</v>
      </c>
      <c r="T12" s="318">
        <f>T11/'Q - Income Statement'!U5</f>
        <v>6.2120040763256841E-2</v>
      </c>
      <c r="U12" s="155">
        <f>U11/'Income Statement'!Y6</f>
        <v>6.1943321848096991E-2</v>
      </c>
      <c r="V12" s="318">
        <f>V11/'Q - Income Statement'!W5</f>
        <v>6.1430807308728255E-2</v>
      </c>
      <c r="W12" s="105">
        <f>V12</f>
        <v>6.1430807308728255E-2</v>
      </c>
      <c r="X12" s="105">
        <f t="shared" ref="X12:AE12" si="2">W12</f>
        <v>6.1430807308728255E-2</v>
      </c>
      <c r="Y12" s="105">
        <f t="shared" si="2"/>
        <v>6.1430807308728255E-2</v>
      </c>
      <c r="Z12" s="105">
        <f t="shared" si="2"/>
        <v>6.1430807308728255E-2</v>
      </c>
      <c r="AA12" s="105">
        <f t="shared" si="2"/>
        <v>6.1430807308728255E-2</v>
      </c>
      <c r="AB12" s="105">
        <f t="shared" si="2"/>
        <v>6.1430807308728255E-2</v>
      </c>
      <c r="AC12" s="105">
        <f t="shared" si="2"/>
        <v>6.1430807308728255E-2</v>
      </c>
      <c r="AD12" s="105">
        <f t="shared" si="2"/>
        <v>6.1430807308728255E-2</v>
      </c>
      <c r="AE12" s="105">
        <f t="shared" si="2"/>
        <v>6.1430807308728255E-2</v>
      </c>
      <c r="AF12" s="319"/>
      <c r="AG12" s="319"/>
      <c r="AH12" s="319"/>
      <c r="AI12" s="319"/>
      <c r="AJ12" s="319"/>
      <c r="AK12" s="319"/>
      <c r="AL12" s="319"/>
      <c r="AM12" s="319"/>
      <c r="AN12" s="320"/>
      <c r="AO12" s="320"/>
      <c r="AP12" s="320"/>
      <c r="AQ12" s="320"/>
      <c r="AR12" s="320"/>
    </row>
    <row r="13" spans="1:44" ht="19.5" customHeight="1">
      <c r="A13" s="321"/>
      <c r="B13" s="317"/>
      <c r="C13" s="308"/>
      <c r="D13" s="313"/>
      <c r="E13" s="313"/>
      <c r="F13" s="313"/>
      <c r="G13" s="322"/>
      <c r="H13" s="322"/>
      <c r="I13" s="322"/>
      <c r="J13" s="322"/>
      <c r="K13" s="313"/>
      <c r="L13" s="322"/>
      <c r="M13" s="322"/>
      <c r="N13" s="322"/>
      <c r="O13" s="322"/>
      <c r="P13" s="313"/>
      <c r="Q13" s="322"/>
      <c r="R13" s="322"/>
      <c r="S13" s="322"/>
      <c r="T13" s="322"/>
      <c r="U13" s="313"/>
      <c r="V13" s="323"/>
      <c r="W13" s="311"/>
      <c r="X13" s="311"/>
      <c r="Y13" s="311"/>
      <c r="Z13" s="311"/>
      <c r="AA13" s="311"/>
      <c r="AB13" s="311"/>
      <c r="AC13" s="311"/>
      <c r="AD13" s="311"/>
      <c r="AE13" s="311"/>
      <c r="AF13" s="308"/>
      <c r="AG13" s="308"/>
      <c r="AH13" s="308"/>
      <c r="AI13" s="308"/>
      <c r="AJ13" s="308"/>
      <c r="AK13" s="308"/>
      <c r="AL13" s="308"/>
      <c r="AM13" s="308"/>
    </row>
    <row r="14" spans="1:44" ht="19.5" customHeight="1">
      <c r="A14" s="316"/>
      <c r="B14" s="317"/>
      <c r="C14" s="308"/>
      <c r="D14" s="155"/>
      <c r="E14" s="155"/>
      <c r="F14" s="155"/>
      <c r="G14" s="156"/>
      <c r="H14" s="156"/>
      <c r="I14" s="156"/>
      <c r="J14" s="156"/>
      <c r="K14" s="155"/>
      <c r="L14" s="156"/>
      <c r="M14" s="156"/>
      <c r="N14" s="156"/>
      <c r="O14" s="156"/>
      <c r="P14" s="155"/>
      <c r="Q14" s="156"/>
      <c r="R14" s="156"/>
      <c r="S14" s="156"/>
      <c r="T14" s="156"/>
      <c r="U14" s="155"/>
      <c r="V14" s="156"/>
      <c r="W14" s="105"/>
      <c r="X14" s="105"/>
      <c r="Y14" s="105"/>
      <c r="Z14" s="105"/>
      <c r="AA14" s="105"/>
      <c r="AB14" s="105"/>
      <c r="AC14" s="105"/>
      <c r="AD14" s="105"/>
      <c r="AE14" s="105"/>
      <c r="AF14" s="308"/>
      <c r="AG14" s="308"/>
      <c r="AH14" s="308"/>
      <c r="AI14" s="308"/>
      <c r="AJ14" s="308"/>
      <c r="AK14" s="308"/>
      <c r="AL14" s="308"/>
      <c r="AM14" s="308"/>
    </row>
    <row r="15" spans="1:44" ht="19.5" customHeight="1">
      <c r="A15" s="324" t="s">
        <v>212</v>
      </c>
      <c r="B15" s="324"/>
      <c r="C15" s="324"/>
      <c r="D15" s="191">
        <f t="shared" ref="D15:V15" si="3">D16+D17+D18</f>
        <v>0</v>
      </c>
      <c r="E15" s="191">
        <f t="shared" si="3"/>
        <v>-21696</v>
      </c>
      <c r="F15" s="191">
        <f t="shared" si="3"/>
        <v>-16012</v>
      </c>
      <c r="G15" s="295">
        <f t="shared" si="3"/>
        <v>-5613</v>
      </c>
      <c r="H15" s="295">
        <f t="shared" si="3"/>
        <v>-3659</v>
      </c>
      <c r="I15" s="295">
        <f t="shared" si="3"/>
        <v>-4180</v>
      </c>
      <c r="J15" s="295">
        <f t="shared" si="3"/>
        <v>-8741</v>
      </c>
      <c r="K15" s="191">
        <f t="shared" si="3"/>
        <v>-22193</v>
      </c>
      <c r="L15" s="295">
        <f t="shared" si="3"/>
        <v>-11823</v>
      </c>
      <c r="M15" s="295">
        <f t="shared" si="3"/>
        <v>-8151</v>
      </c>
      <c r="N15" s="295">
        <f t="shared" si="3"/>
        <v>-12120</v>
      </c>
      <c r="O15" s="295">
        <f t="shared" si="3"/>
        <v>-11571</v>
      </c>
      <c r="P15" s="191">
        <f t="shared" si="3"/>
        <v>-43665</v>
      </c>
      <c r="Q15" s="295">
        <f t="shared" si="3"/>
        <v>-27073</v>
      </c>
      <c r="R15" s="295">
        <f t="shared" si="3"/>
        <v>-19714</v>
      </c>
      <c r="S15" s="295">
        <f t="shared" si="3"/>
        <v>-31782</v>
      </c>
      <c r="T15" s="295">
        <f t="shared" si="3"/>
        <v>-27697</v>
      </c>
      <c r="U15" s="191">
        <f t="shared" si="3"/>
        <v>-106266</v>
      </c>
      <c r="V15" s="295">
        <f t="shared" si="3"/>
        <v>-72682</v>
      </c>
      <c r="W15" s="193">
        <f>SUM(W16:W17)</f>
        <v>-44219.056892009998</v>
      </c>
      <c r="X15" s="193">
        <f t="shared" ref="X15:AE15" si="4">SUM(X16:X17)</f>
        <v>-53933.407903975603</v>
      </c>
      <c r="Y15" s="193">
        <f t="shared" si="4"/>
        <v>-73636.12127397109</v>
      </c>
      <c r="Z15" s="193">
        <f>SUM(Z16:Z17)</f>
        <v>-212693.58606995671</v>
      </c>
      <c r="AA15" s="193">
        <f t="shared" si="4"/>
        <v>-253169.83688650464</v>
      </c>
      <c r="AB15" s="193">
        <f t="shared" si="4"/>
        <v>-262425.46439650113</v>
      </c>
      <c r="AC15" s="193">
        <f t="shared" si="4"/>
        <v>-258277.26982424816</v>
      </c>
      <c r="AD15" s="193">
        <f t="shared" si="4"/>
        <v>-193806.32573911201</v>
      </c>
      <c r="AE15" s="193">
        <f t="shared" si="4"/>
        <v>-160186.18290997343</v>
      </c>
      <c r="AF15" s="296"/>
      <c r="AG15" s="296"/>
      <c r="AH15" s="296"/>
      <c r="AI15" s="296"/>
      <c r="AJ15" s="296"/>
      <c r="AK15" s="296"/>
      <c r="AL15" s="296"/>
      <c r="AM15" s="296"/>
      <c r="AN15" s="297"/>
      <c r="AO15" s="297"/>
      <c r="AP15" s="297"/>
      <c r="AQ15" s="297"/>
      <c r="AR15" s="297"/>
    </row>
    <row r="16" spans="1:44" ht="19.5" customHeight="1">
      <c r="A16" s="312" t="s">
        <v>213</v>
      </c>
      <c r="B16" s="325"/>
      <c r="C16" s="325"/>
      <c r="D16" s="134"/>
      <c r="E16" s="134">
        <f>-(BS!E15-BS!D15)</f>
        <v>-8846</v>
      </c>
      <c r="F16" s="134">
        <f>-(BS!F15-BS!E15)</f>
        <v>-943</v>
      </c>
      <c r="G16" s="244">
        <f>'Q - CFS Indirect'!C12</f>
        <v>-721</v>
      </c>
      <c r="H16" s="244">
        <f>'Q - CFS Indirect'!D12</f>
        <v>-11</v>
      </c>
      <c r="I16" s="244">
        <f>'Q - CFS Indirect'!E12</f>
        <v>317</v>
      </c>
      <c r="J16" s="244">
        <f>'Q - CFS Indirect'!F12</f>
        <v>-101</v>
      </c>
      <c r="K16" s="134">
        <f>-(BS!K15-BS!F15)</f>
        <v>-516</v>
      </c>
      <c r="L16" s="244">
        <f>'Q - CFS Indirect'!H12</f>
        <v>-2986</v>
      </c>
      <c r="M16" s="244">
        <f>'Q - CFS Indirect'!I12</f>
        <v>-178</v>
      </c>
      <c r="N16" s="244">
        <f>'Q - CFS Indirect'!J12</f>
        <v>-2005</v>
      </c>
      <c r="O16" s="244">
        <f>'Q - CFS Indirect'!K12</f>
        <v>-1805</v>
      </c>
      <c r="P16" s="134">
        <f>-(BS!P15-BS!K15)</f>
        <v>-6974</v>
      </c>
      <c r="Q16" s="244">
        <f>'Q - CFS Indirect'!M12</f>
        <v>-13047</v>
      </c>
      <c r="R16" s="244">
        <f>'Q - CFS Indirect'!N12</f>
        <v>-1545</v>
      </c>
      <c r="S16" s="244">
        <f>'Q - CFS Indirect'!O12</f>
        <v>-11226</v>
      </c>
      <c r="T16" s="244">
        <f>'Q - CFS Indirect'!P12</f>
        <v>-4887</v>
      </c>
      <c r="U16" s="134">
        <f>-(BS!U15-BS!P15)</f>
        <v>-30705</v>
      </c>
      <c r="V16" s="244">
        <f>'Q - CFS Indirect'!R12</f>
        <v>-38259</v>
      </c>
      <c r="W16" s="311">
        <v>0</v>
      </c>
      <c r="X16" s="311">
        <v>0</v>
      </c>
      <c r="Y16" s="311">
        <v>0</v>
      </c>
      <c r="Z16" s="311">
        <v>0</v>
      </c>
      <c r="AA16" s="311">
        <v>0</v>
      </c>
      <c r="AB16" s="311">
        <v>0</v>
      </c>
      <c r="AC16" s="311">
        <v>0</v>
      </c>
      <c r="AD16" s="311">
        <v>0</v>
      </c>
      <c r="AE16" s="311">
        <v>0</v>
      </c>
      <c r="AF16" s="768"/>
      <c r="AG16" s="304"/>
      <c r="AH16" s="304"/>
      <c r="AI16" s="304"/>
      <c r="AJ16" s="304"/>
      <c r="AK16" s="304"/>
      <c r="AL16" s="304"/>
      <c r="AM16" s="305"/>
      <c r="AN16" s="306"/>
      <c r="AO16" s="306"/>
      <c r="AP16" s="306"/>
      <c r="AQ16" s="306"/>
      <c r="AR16" s="306"/>
    </row>
    <row r="17" spans="1:44" ht="19.5" customHeight="1">
      <c r="A17" s="312" t="s">
        <v>214</v>
      </c>
      <c r="B17" s="326"/>
      <c r="C17" s="326"/>
      <c r="D17" s="134"/>
      <c r="E17" s="134">
        <f>-(BS!E16-BS!D16)</f>
        <v>-12850</v>
      </c>
      <c r="F17" s="134">
        <f>-(BS!F16-BS!E16)</f>
        <v>-15069</v>
      </c>
      <c r="G17" s="244">
        <f>'Q - CFS Indirect'!C13</f>
        <v>-4892</v>
      </c>
      <c r="H17" s="244">
        <f>'Q - CFS Indirect'!D13</f>
        <v>-3648</v>
      </c>
      <c r="I17" s="244">
        <f>'Q - CFS Indirect'!E13</f>
        <v>-4497</v>
      </c>
      <c r="J17" s="244">
        <f>'Q - CFS Indirect'!F13</f>
        <v>-8640</v>
      </c>
      <c r="K17" s="134">
        <f>-(BS!K16-BS!F16)</f>
        <v>-21677</v>
      </c>
      <c r="L17" s="244">
        <f>'Q - CFS Indirect'!H13</f>
        <v>-8837</v>
      </c>
      <c r="M17" s="244">
        <f>'Q - CFS Indirect'!I13</f>
        <v>-7973</v>
      </c>
      <c r="N17" s="244">
        <f>'Q - CFS Indirect'!J13</f>
        <v>-10115</v>
      </c>
      <c r="O17" s="244">
        <f>'Q - CFS Indirect'!K13</f>
        <v>-9766</v>
      </c>
      <c r="P17" s="134">
        <f>-(BS!P16-BS!K16)</f>
        <v>-36691</v>
      </c>
      <c r="Q17" s="244">
        <f>'Q - CFS Indirect'!M13</f>
        <v>-14026</v>
      </c>
      <c r="R17" s="244">
        <f>'Q - CFS Indirect'!N13</f>
        <v>-18169</v>
      </c>
      <c r="S17" s="244">
        <f>'Q - CFS Indirect'!O13</f>
        <v>-20556</v>
      </c>
      <c r="T17" s="244">
        <f>'Q - CFS Indirect'!P13</f>
        <v>-22810</v>
      </c>
      <c r="U17" s="134">
        <f>-(BS!U16-BS!P16)</f>
        <v>-75561</v>
      </c>
      <c r="V17" s="244">
        <f>'Q - CFS Indirect'!R13</f>
        <v>-34423</v>
      </c>
      <c r="W17" s="127">
        <f>-'CapEx &amp; D&amp;A '!W13</f>
        <v>-44219.056892009998</v>
      </c>
      <c r="X17" s="127">
        <f>-'CapEx &amp; D&amp;A '!X13</f>
        <v>-53933.407903975603</v>
      </c>
      <c r="Y17" s="127">
        <f>-'CapEx &amp; D&amp;A '!Y13</f>
        <v>-73636.12127397109</v>
      </c>
      <c r="Z17" s="127">
        <f>-'CapEx &amp; D&amp;A '!Z13</f>
        <v>-212693.58606995671</v>
      </c>
      <c r="AA17" s="127">
        <f>-'CapEx &amp; D&amp;A '!AA13</f>
        <v>-253169.83688650464</v>
      </c>
      <c r="AB17" s="127">
        <f>-'CapEx &amp; D&amp;A '!AB13</f>
        <v>-262425.46439650113</v>
      </c>
      <c r="AC17" s="127">
        <f>-'CapEx &amp; D&amp;A '!AC13</f>
        <v>-258277.26982424816</v>
      </c>
      <c r="AD17" s="127">
        <f>-'CapEx &amp; D&amp;A '!AD13</f>
        <v>-193806.32573911201</v>
      </c>
      <c r="AE17" s="127">
        <f>-'CapEx &amp; D&amp;A '!AE13</f>
        <v>-160186.18290997343</v>
      </c>
      <c r="AF17" s="310"/>
      <c r="AG17" s="310"/>
      <c r="AH17" s="310"/>
      <c r="AI17" s="310"/>
      <c r="AJ17" s="310"/>
      <c r="AK17" s="310"/>
      <c r="AL17" s="310"/>
      <c r="AM17" s="306"/>
      <c r="AN17" s="306"/>
      <c r="AO17" s="306"/>
      <c r="AP17" s="306"/>
      <c r="AQ17" s="306"/>
      <c r="AR17" s="306"/>
    </row>
    <row r="18" spans="1:44" ht="19.5" customHeight="1">
      <c r="A18" s="312" t="s">
        <v>74</v>
      </c>
      <c r="B18" s="327"/>
      <c r="C18" s="327"/>
      <c r="D18" s="134"/>
      <c r="E18" s="134"/>
      <c r="F18" s="134"/>
      <c r="G18" s="135"/>
      <c r="H18" s="135"/>
      <c r="I18" s="135"/>
      <c r="J18" s="135"/>
      <c r="K18" s="134"/>
      <c r="L18" s="135"/>
      <c r="M18" s="135"/>
      <c r="N18" s="135"/>
      <c r="O18" s="135"/>
      <c r="P18" s="134"/>
      <c r="Q18" s="135"/>
      <c r="R18" s="135"/>
      <c r="S18" s="135"/>
      <c r="T18" s="135"/>
      <c r="U18" s="134"/>
      <c r="V18" s="135"/>
      <c r="W18" s="328"/>
      <c r="X18" s="328"/>
      <c r="Y18" s="328"/>
      <c r="Z18" s="328"/>
      <c r="AA18" s="328"/>
      <c r="AB18" s="328"/>
      <c r="AC18" s="328"/>
      <c r="AD18" s="328"/>
      <c r="AE18" s="328"/>
      <c r="AF18" s="308"/>
      <c r="AG18" s="308"/>
      <c r="AH18" s="308"/>
      <c r="AI18" s="308"/>
      <c r="AJ18" s="308"/>
      <c r="AK18" s="308"/>
      <c r="AL18" s="308"/>
      <c r="AM18" s="308"/>
    </row>
    <row r="19" spans="1:44" ht="19.5" customHeight="1">
      <c r="A19" s="329"/>
      <c r="D19" s="134"/>
      <c r="E19" s="134"/>
      <c r="F19" s="134"/>
      <c r="G19" s="135"/>
      <c r="H19" s="135"/>
      <c r="I19" s="135"/>
      <c r="J19" s="135"/>
      <c r="K19" s="134"/>
      <c r="L19" s="135"/>
      <c r="M19" s="135"/>
      <c r="N19" s="135"/>
      <c r="O19" s="135"/>
      <c r="P19" s="134"/>
      <c r="Q19" s="135"/>
      <c r="R19" s="135"/>
      <c r="S19" s="135"/>
      <c r="T19" s="135"/>
      <c r="U19" s="134"/>
      <c r="V19" s="135"/>
      <c r="W19" s="669"/>
      <c r="X19" s="328"/>
      <c r="Y19" s="328"/>
      <c r="Z19" s="328"/>
      <c r="AA19" s="328"/>
      <c r="AB19" s="328"/>
      <c r="AC19" s="328"/>
      <c r="AD19" s="328"/>
      <c r="AE19" s="328"/>
      <c r="AF19" s="308"/>
      <c r="AG19" s="308"/>
      <c r="AH19" s="308"/>
      <c r="AI19" s="308"/>
      <c r="AJ19" s="308"/>
      <c r="AK19" s="308"/>
      <c r="AL19" s="308"/>
      <c r="AM19" s="308"/>
    </row>
    <row r="20" spans="1:44" ht="19.5" customHeight="1">
      <c r="A20" s="324" t="s">
        <v>215</v>
      </c>
      <c r="B20" s="330"/>
      <c r="C20" s="330"/>
      <c r="D20" s="191">
        <f t="shared" ref="D20:V20" si="5">D21+D22+D23+D24+D28+D25</f>
        <v>-36845</v>
      </c>
      <c r="E20" s="191">
        <f t="shared" si="5"/>
        <v>-56331</v>
      </c>
      <c r="F20" s="191">
        <f t="shared" si="5"/>
        <v>-61696</v>
      </c>
      <c r="G20" s="295">
        <f t="shared" si="5"/>
        <v>-15117</v>
      </c>
      <c r="H20" s="295">
        <f t="shared" si="5"/>
        <v>-15797</v>
      </c>
      <c r="I20" s="295">
        <f t="shared" si="5"/>
        <v>-16347</v>
      </c>
      <c r="J20" s="295">
        <f t="shared" si="5"/>
        <v>-17640</v>
      </c>
      <c r="K20" s="191">
        <f t="shared" si="5"/>
        <v>-64901</v>
      </c>
      <c r="L20" s="295">
        <f t="shared" si="5"/>
        <v>-17899</v>
      </c>
      <c r="M20" s="295">
        <f t="shared" si="5"/>
        <v>-20017</v>
      </c>
      <c r="N20" s="295">
        <f t="shared" si="5"/>
        <v>-19305</v>
      </c>
      <c r="O20" s="295">
        <f t="shared" si="5"/>
        <v>-20039</v>
      </c>
      <c r="P20" s="191">
        <f t="shared" si="5"/>
        <v>-77260</v>
      </c>
      <c r="Q20" s="295">
        <f t="shared" si="5"/>
        <v>-18654</v>
      </c>
      <c r="R20" s="295">
        <f t="shared" si="5"/>
        <v>-2848</v>
      </c>
      <c r="S20" s="295">
        <f t="shared" si="5"/>
        <v>-16944</v>
      </c>
      <c r="T20" s="295">
        <f t="shared" si="5"/>
        <v>13772</v>
      </c>
      <c r="U20" s="191">
        <f t="shared" si="5"/>
        <v>-24674</v>
      </c>
      <c r="V20" s="295">
        <f>V21+V22+V23+V24+V28+V25</f>
        <v>26821</v>
      </c>
      <c r="W20" s="670">
        <f t="shared" ref="W20:AE20" ca="1" si="6">W21+W22+W23+W24+W28+W25</f>
        <v>72729.629884853857</v>
      </c>
      <c r="X20" s="670">
        <f t="shared" ca="1" si="6"/>
        <v>-13424.270939656597</v>
      </c>
      <c r="Y20" s="670">
        <f t="shared" ca="1" si="6"/>
        <v>-16755.56800496245</v>
      </c>
      <c r="Z20" s="670">
        <f ca="1">SUM(Z21:Z25)</f>
        <v>-33407.177059765192</v>
      </c>
      <c r="AA20" s="670">
        <f t="shared" ca="1" si="6"/>
        <v>-80691.350286535264</v>
      </c>
      <c r="AB20" s="670">
        <f t="shared" ca="1" si="6"/>
        <v>-111074.50019186395</v>
      </c>
      <c r="AC20" s="670">
        <f t="shared" ca="1" si="6"/>
        <v>-165288.18413201609</v>
      </c>
      <c r="AD20" s="670">
        <f t="shared" ca="1" si="6"/>
        <v>-202016.2485200284</v>
      </c>
      <c r="AE20" s="670">
        <f t="shared" ca="1" si="6"/>
        <v>-268781.72726461041</v>
      </c>
      <c r="AF20" s="296"/>
      <c r="AG20" s="296"/>
      <c r="AH20" s="296"/>
      <c r="AI20" s="296"/>
      <c r="AJ20" s="296"/>
      <c r="AK20" s="296"/>
      <c r="AL20" s="296"/>
      <c r="AM20" s="296"/>
      <c r="AN20" s="297"/>
      <c r="AO20" s="297"/>
      <c r="AP20" s="297"/>
      <c r="AQ20" s="297"/>
      <c r="AR20" s="297"/>
    </row>
    <row r="21" spans="1:44" ht="19.5" customHeight="1">
      <c r="A21" s="307" t="s">
        <v>216</v>
      </c>
      <c r="D21" s="142"/>
      <c r="E21" s="146">
        <f>BS!E36-BS!D36</f>
        <v>3264</v>
      </c>
      <c r="F21" s="146">
        <f>BS!F36-BS!E36</f>
        <v>6410</v>
      </c>
      <c r="G21" s="266">
        <f>'Q - CFS Indirect'!C16</f>
        <v>2085</v>
      </c>
      <c r="H21" s="266">
        <f>'Q - CFS Indirect'!D16</f>
        <v>1979</v>
      </c>
      <c r="I21" s="266">
        <f>'Q - CFS Indirect'!E16</f>
        <v>2343</v>
      </c>
      <c r="J21" s="266">
        <f>'Q - CFS Indirect'!F16</f>
        <v>1943</v>
      </c>
      <c r="K21" s="146">
        <f>BS!K36-BS!F36</f>
        <v>8350</v>
      </c>
      <c r="L21" s="266">
        <f>'Q - CFS Indirect'!H16</f>
        <v>1379</v>
      </c>
      <c r="M21" s="266">
        <f>'Q - CFS Indirect'!I16</f>
        <v>1819</v>
      </c>
      <c r="N21" s="266">
        <f>'Q - CFS Indirect'!J16</f>
        <v>2298</v>
      </c>
      <c r="O21" s="266">
        <f>'Q - CFS Indirect'!K16</f>
        <v>2770</v>
      </c>
      <c r="P21" s="146">
        <f>BS!P36-BS!K36</f>
        <v>8266</v>
      </c>
      <c r="Q21" s="266">
        <f>'Q - CFS Indirect'!M16</f>
        <v>1925</v>
      </c>
      <c r="R21" s="266">
        <f>'Q - CFS Indirect'!N16</f>
        <v>2558</v>
      </c>
      <c r="S21" s="266">
        <f>'Q - CFS Indirect'!O16</f>
        <v>2412</v>
      </c>
      <c r="T21" s="266">
        <f>'Q - CFS Indirect'!P16</f>
        <v>1431</v>
      </c>
      <c r="U21" s="146">
        <f>BS!U36-BS!P36</f>
        <v>8326</v>
      </c>
      <c r="V21" s="266">
        <f>'Q - CFS Indirect'!R16</f>
        <v>3776</v>
      </c>
      <c r="W21" s="158">
        <f>BS!W36-BS!V36</f>
        <v>84750</v>
      </c>
      <c r="X21" s="158">
        <f>BS!X36-BS!W36</f>
        <v>0</v>
      </c>
      <c r="Y21" s="158">
        <f>BS!Y36-BS!X36</f>
        <v>0</v>
      </c>
      <c r="Z21" s="158">
        <f>BS!Z36-BS!Y36</f>
        <v>0</v>
      </c>
      <c r="AA21" s="158">
        <f>BS!AA36-BS!Z36</f>
        <v>0</v>
      </c>
      <c r="AB21" s="158">
        <f>BS!AB36-BS!AA36</f>
        <v>0</v>
      </c>
      <c r="AC21" s="158">
        <f>BS!AC36-BS!AB36</f>
        <v>0</v>
      </c>
      <c r="AD21" s="158">
        <f>BS!AD36-BS!AC36</f>
        <v>0</v>
      </c>
      <c r="AE21" s="158">
        <f>BS!AE36-BS!AD36</f>
        <v>0</v>
      </c>
      <c r="AF21" s="296"/>
      <c r="AG21" s="296"/>
      <c r="AH21" s="296"/>
      <c r="AI21" s="296"/>
      <c r="AJ21" s="315"/>
      <c r="AK21" s="315"/>
      <c r="AL21" s="315"/>
      <c r="AM21" s="305"/>
      <c r="AN21" s="306"/>
      <c r="AO21" s="306"/>
      <c r="AP21" s="306"/>
      <c r="AQ21" s="306"/>
      <c r="AR21" s="306"/>
    </row>
    <row r="22" spans="1:44" ht="19.5" customHeight="1">
      <c r="A22" s="307" t="s">
        <v>217</v>
      </c>
      <c r="D22" s="134"/>
      <c r="E22" s="146">
        <f>(BS!E30+BS!E31)-(BS!D30+BS!D31)</f>
        <v>1128</v>
      </c>
      <c r="F22" s="146">
        <f>(BS!F30+BS!F31)-(BS!E30+BS!E31)</f>
        <v>996</v>
      </c>
      <c r="G22" s="244">
        <f>'Q - CFS Indirect'!C17</f>
        <v>-706</v>
      </c>
      <c r="H22" s="244">
        <f>'Q - CFS Indirect'!D17</f>
        <v>-45</v>
      </c>
      <c r="I22" s="244">
        <f>'Q - CFS Indirect'!E17</f>
        <v>-120</v>
      </c>
      <c r="J22" s="244">
        <f>'Q - CFS Indirect'!F17</f>
        <v>-618</v>
      </c>
      <c r="K22" s="146">
        <f>(BS!K30+BS!K31)-(BS!F30+BS!F31)</f>
        <v>-1489</v>
      </c>
      <c r="L22" s="244">
        <f>'Q - CFS Indirect'!H17</f>
        <v>-528</v>
      </c>
      <c r="M22" s="244">
        <f>'Q - CFS Indirect'!I17</f>
        <v>-239</v>
      </c>
      <c r="N22" s="244">
        <f>'Q - CFS Indirect'!J17</f>
        <v>-995</v>
      </c>
      <c r="O22" s="244">
        <f>'Q - CFS Indirect'!K17</f>
        <v>-1377</v>
      </c>
      <c r="P22" s="146">
        <f>(BS!P30+BS!P31)-(BS!K30+BS!K31)</f>
        <v>-3139</v>
      </c>
      <c r="Q22" s="244">
        <f>'Q - CFS Indirect'!M17</f>
        <v>-10</v>
      </c>
      <c r="R22" s="244">
        <f>'Q - CFS Indirect'!N17</f>
        <v>12995</v>
      </c>
      <c r="S22" s="244">
        <f>'Q - CFS Indirect'!O17</f>
        <v>-1846</v>
      </c>
      <c r="T22" s="244">
        <f>'Q - CFS Indirect'!P17</f>
        <v>25578</v>
      </c>
      <c r="U22" s="146">
        <f>(BS!U30+BS!U31)-(BS!P30+BS!P31)</f>
        <v>36717</v>
      </c>
      <c r="V22" s="244">
        <f>'Q - CFS Indirect'!R17</f>
        <v>31193</v>
      </c>
      <c r="W22" s="158">
        <f>BS!W30+BS!W31-BS!V30-BS!V31</f>
        <v>3875.0500000000029</v>
      </c>
      <c r="X22" s="158">
        <f>BS!X30+BS!X31-BS!W30-BS!W31</f>
        <v>4068.8025000000052</v>
      </c>
      <c r="Y22" s="158">
        <f>BS!Y30+BS!Y31-BS!X30-BS!X31</f>
        <v>4272.242624999999</v>
      </c>
      <c r="Z22" s="158">
        <f>SUM(V22:Y22)</f>
        <v>43409.095125000007</v>
      </c>
      <c r="AA22" s="158">
        <f>BS!AA30+BS!AA31-BS!Z30-BS!Z31</f>
        <v>8971.7095125000051</v>
      </c>
      <c r="AB22" s="158">
        <f>BS!AB30+BS!AB31-BS!AA30-BS!AA31</f>
        <v>7895.1043710000085</v>
      </c>
      <c r="AC22" s="158">
        <f>BS!AC30+BS!AC31-BS!AB30-BS!AB31</f>
        <v>6395.0345405100088</v>
      </c>
      <c r="AD22" s="158">
        <f>BS!AD30+BS!AD31-BS!AC30-BS!AC31</f>
        <v>4519.1577419604</v>
      </c>
      <c r="AE22" s="158">
        <f>BS!AE30+BS!AE31-BS!AD30-BS!AD31</f>
        <v>2349.9620258194045</v>
      </c>
      <c r="AF22" s="304"/>
      <c r="AG22" s="304"/>
      <c r="AH22" s="304"/>
      <c r="AI22" s="304"/>
      <c r="AJ22" s="304"/>
      <c r="AK22" s="304"/>
      <c r="AL22" s="304"/>
      <c r="AM22" s="305"/>
      <c r="AN22" s="306"/>
      <c r="AO22" s="306"/>
      <c r="AP22" s="306"/>
      <c r="AQ22" s="306"/>
      <c r="AR22" s="306"/>
    </row>
    <row r="23" spans="1:44" ht="19.5" customHeight="1">
      <c r="A23" s="307" t="s">
        <v>218</v>
      </c>
      <c r="D23" s="134">
        <v>0</v>
      </c>
      <c r="E23" s="134">
        <v>0</v>
      </c>
      <c r="F23" s="134">
        <v>0</v>
      </c>
      <c r="G23" s="244">
        <f>'Q - CFS Indirect'!C18</f>
        <v>0</v>
      </c>
      <c r="H23" s="244">
        <f>'Q - CFS Indirect'!D18</f>
        <v>0</v>
      </c>
      <c r="I23" s="244">
        <f>'Q - CFS Indirect'!E18</f>
        <v>0</v>
      </c>
      <c r="J23" s="244">
        <f>'Q - CFS Indirect'!F18</f>
        <v>0</v>
      </c>
      <c r="K23" s="134">
        <v>0</v>
      </c>
      <c r="L23" s="244">
        <f>'Q - CFS Indirect'!H18</f>
        <v>0</v>
      </c>
      <c r="M23" s="244">
        <f>'Q - CFS Indirect'!I18</f>
        <v>-2466</v>
      </c>
      <c r="N23" s="244">
        <f>'Q - CFS Indirect'!J18</f>
        <v>-2455</v>
      </c>
      <c r="O23" s="244">
        <f>'Q - CFS Indirect'!K18</f>
        <v>-2442</v>
      </c>
      <c r="P23" s="134">
        <v>-7363</v>
      </c>
      <c r="Q23" s="244">
        <f>'Q - CFS Indirect'!M18</f>
        <v>-2434</v>
      </c>
      <c r="R23" s="244">
        <f>'Q - CFS Indirect'!N18</f>
        <v>-2543</v>
      </c>
      <c r="S23" s="244">
        <f>'Q - CFS Indirect'!O18</f>
        <v>-2536</v>
      </c>
      <c r="T23" s="244">
        <f>'Q - CFS Indirect'!P18</f>
        <v>-2536</v>
      </c>
      <c r="U23" s="134">
        <v>-10049</v>
      </c>
      <c r="V23" s="244">
        <f>'Q - CFS Indirect'!R18</f>
        <v>-2542</v>
      </c>
      <c r="W23" s="311">
        <f ca="1">-'Income Statement'!AA37</f>
        <v>-2390.3116568474306</v>
      </c>
      <c r="X23" s="311">
        <f ca="1">-'Income Statement'!AB37</f>
        <v>-2608.7134575157229</v>
      </c>
      <c r="Y23" s="311">
        <f ca="1">-'Income Statement'!AC37</f>
        <v>-3193.065458475387</v>
      </c>
      <c r="Z23" s="311">
        <f ca="1">-'Income Statement'!AD37</f>
        <v>-11946.770572838541</v>
      </c>
      <c r="AA23" s="311">
        <f ca="1">-'Income Statement'!AE37</f>
        <v>-13755.309651179727</v>
      </c>
      <c r="AB23" s="311">
        <f ca="1">-'Income Statement'!AF37</f>
        <v>-18845.326441095913</v>
      </c>
      <c r="AC23" s="311">
        <f ca="1">-'Income Statement'!AG37</f>
        <v>-28654.543798371757</v>
      </c>
      <c r="AD23" s="311">
        <f ca="1">-'Income Statement'!AH37</f>
        <v>-34911.472503007062</v>
      </c>
      <c r="AE23" s="311">
        <f ca="1">-'Income Statement'!AI37</f>
        <v>-47178.145810047128</v>
      </c>
      <c r="AF23" s="304"/>
      <c r="AG23" s="304"/>
      <c r="AH23" s="304"/>
      <c r="AI23" s="304"/>
      <c r="AJ23" s="304"/>
      <c r="AK23" s="304"/>
      <c r="AL23" s="304"/>
      <c r="AM23" s="305"/>
      <c r="AN23" s="306"/>
      <c r="AO23" s="306"/>
      <c r="AP23" s="306"/>
      <c r="AQ23" s="306"/>
      <c r="AR23" s="306"/>
    </row>
    <row r="24" spans="1:44" ht="19.5" customHeight="1">
      <c r="A24" s="307" t="s">
        <v>219</v>
      </c>
      <c r="D24" s="134">
        <v>-31149</v>
      </c>
      <c r="E24" s="134">
        <v>-50274</v>
      </c>
      <c r="F24" s="134">
        <v>-59296</v>
      </c>
      <c r="G24" s="244">
        <f>'Q - CFS Indirect'!C19</f>
        <v>-14557</v>
      </c>
      <c r="H24" s="244">
        <f>'Q - CFS Indirect'!D19</f>
        <v>-14969</v>
      </c>
      <c r="I24" s="244">
        <f>'Q - CFS Indirect'!E19</f>
        <v>-15787</v>
      </c>
      <c r="J24" s="244">
        <f>'Q - CFS Indirect'!F19</f>
        <v>-16191</v>
      </c>
      <c r="K24" s="134">
        <v>-61504</v>
      </c>
      <c r="L24" s="244">
        <f>'Q - CFS Indirect'!H19</f>
        <v>-15696</v>
      </c>
      <c r="M24" s="244">
        <f>'Q - CFS Indirect'!I19</f>
        <v>-15684</v>
      </c>
      <c r="N24" s="244">
        <f>'Q - CFS Indirect'!J19</f>
        <v>-15291</v>
      </c>
      <c r="O24" s="244">
        <f>'Q - CFS Indirect'!K19</f>
        <v>-15551</v>
      </c>
      <c r="P24" s="134">
        <v>-62222</v>
      </c>
      <c r="Q24" s="244">
        <f>'Q - CFS Indirect'!M19</f>
        <v>-15068</v>
      </c>
      <c r="R24" s="244">
        <f>'Q - CFS Indirect'!N19</f>
        <v>-13638</v>
      </c>
      <c r="S24" s="244">
        <f>'Q - CFS Indirect'!O19</f>
        <v>-11504</v>
      </c>
      <c r="T24" s="244">
        <f>'Q - CFS Indirect'!P19</f>
        <v>-5499</v>
      </c>
      <c r="U24" s="134">
        <v>-45709</v>
      </c>
      <c r="V24" s="244">
        <f>'Q - CFS Indirect'!R19</f>
        <v>0</v>
      </c>
      <c r="W24" s="311">
        <f ca="1">-'Income Statement'!AA40</f>
        <v>-9561.2466273897226</v>
      </c>
      <c r="X24" s="311">
        <f ca="1">-'Income Statement'!AB40</f>
        <v>-10434.853830062892</v>
      </c>
      <c r="Y24" s="311">
        <f ca="1">-'Income Statement'!AC40</f>
        <v>-12772.261833901548</v>
      </c>
      <c r="Z24" s="311">
        <f ca="1">-'Income Statement'!AD40</f>
        <v>-47787.082291354163</v>
      </c>
      <c r="AA24" s="311">
        <f ca="1">-'Income Statement'!AE40</f>
        <v>-55021.238604718907</v>
      </c>
      <c r="AB24" s="311">
        <f ca="1">-'Income Statement'!AF40</f>
        <v>-75381.305764383651</v>
      </c>
      <c r="AC24" s="311">
        <f ca="1">-'Income Statement'!AG40</f>
        <v>-114618.17519348703</v>
      </c>
      <c r="AD24" s="311">
        <f ca="1">-'Income Statement'!AH40</f>
        <v>-139645.89001202825</v>
      </c>
      <c r="AE24" s="311">
        <f ca="1">-'Income Statement'!AI40</f>
        <v>-188712.58324018851</v>
      </c>
      <c r="AF24" s="244"/>
      <c r="AG24" s="244"/>
      <c r="AH24" s="244"/>
      <c r="AI24" s="244"/>
      <c r="AJ24" s="304"/>
      <c r="AK24" s="304"/>
      <c r="AL24" s="304"/>
      <c r="AM24" s="305"/>
      <c r="AN24" s="306"/>
      <c r="AO24" s="306"/>
      <c r="AP24" s="306"/>
      <c r="AQ24" s="306"/>
      <c r="AR24" s="306"/>
    </row>
    <row r="25" spans="1:44" ht="19.5" customHeight="1">
      <c r="A25" s="307" t="s">
        <v>220</v>
      </c>
      <c r="D25" s="134">
        <v>-5720</v>
      </c>
      <c r="E25" s="134">
        <v>-10162</v>
      </c>
      <c r="F25" s="134">
        <v>-9300</v>
      </c>
      <c r="G25" s="244">
        <f>'Q - CFS Indirect'!C20</f>
        <v>-1989</v>
      </c>
      <c r="H25" s="244">
        <f>'Q - CFS Indirect'!D20</f>
        <v>-2736</v>
      </c>
      <c r="I25" s="244">
        <f>'Q - CFS Indirect'!E20</f>
        <v>-2432</v>
      </c>
      <c r="J25" s="244">
        <f>'Q - CFS Indirect'!F20</f>
        <v>-2680</v>
      </c>
      <c r="K25" s="134">
        <v>-9837</v>
      </c>
      <c r="L25" s="244">
        <f>'Q - CFS Indirect'!H20</f>
        <v>-2929</v>
      </c>
      <c r="M25" s="244">
        <f>'Q - CFS Indirect'!I20</f>
        <v>-3209</v>
      </c>
      <c r="N25" s="244">
        <f>'Q - CFS Indirect'!J20</f>
        <v>-3003</v>
      </c>
      <c r="O25" s="244">
        <f>'Q - CFS Indirect'!K20</f>
        <v>-3049</v>
      </c>
      <c r="P25" s="134">
        <v>-12190</v>
      </c>
      <c r="Q25" s="244">
        <f>'Q - CFS Indirect'!M20</f>
        <v>-3110</v>
      </c>
      <c r="R25" s="244">
        <f>'Q - CFS Indirect'!N20</f>
        <v>-2621</v>
      </c>
      <c r="S25" s="244">
        <f>'Q - CFS Indirect'!O20</f>
        <v>-3270</v>
      </c>
      <c r="T25" s="244">
        <f>'Q - CFS Indirect'!P20</f>
        <v>-5166</v>
      </c>
      <c r="U25" s="134">
        <v>-14167</v>
      </c>
      <c r="V25" s="244">
        <f>'Q - CFS Indirect'!R20</f>
        <v>-5483</v>
      </c>
      <c r="W25" s="311">
        <f>-W26*'Income Statement'!AA6</f>
        <v>-3943.8618309089998</v>
      </c>
      <c r="X25" s="311">
        <f>-X26*'Income Statement'!AB6</f>
        <v>-4449.5061520779873</v>
      </c>
      <c r="Y25" s="311">
        <f>-Y26*'Income Statement'!AC6</f>
        <v>-5062.4833375855133</v>
      </c>
      <c r="Z25" s="311">
        <f>-Z26*'Income Statement'!AD6</f>
        <v>-17082.419320572499</v>
      </c>
      <c r="AA25" s="311">
        <f>-AA26*'Income Statement'!AE6</f>
        <v>-20886.511543136632</v>
      </c>
      <c r="AB25" s="311">
        <f>-AB26*'Income Statement'!AF6</f>
        <v>-24742.972357384391</v>
      </c>
      <c r="AC25" s="311">
        <f>-AC26*'Income Statement'!AG6</f>
        <v>-28410.499680667301</v>
      </c>
      <c r="AD25" s="311">
        <f>-AD26*'Income Statement'!AH6</f>
        <v>-31978.043746953485</v>
      </c>
      <c r="AE25" s="311">
        <f>-AE26*'Income Statement'!AI6</f>
        <v>-35240.960240194159</v>
      </c>
      <c r="AF25" s="244"/>
      <c r="AG25" s="244"/>
      <c r="AH25" s="244"/>
      <c r="AI25" s="244"/>
      <c r="AJ25" s="304"/>
      <c r="AK25" s="304"/>
      <c r="AL25" s="304"/>
      <c r="AM25" s="305"/>
      <c r="AN25" s="306"/>
      <c r="AO25" s="306"/>
      <c r="AP25" s="306"/>
      <c r="AQ25" s="306"/>
      <c r="AR25" s="306"/>
    </row>
    <row r="26" spans="1:44" ht="19.5" customHeight="1">
      <c r="A26" s="307"/>
      <c r="B26" s="278" t="s">
        <v>211</v>
      </c>
      <c r="D26" s="155">
        <f>-D25/'Income Statement'!D6</f>
        <v>3.133782947180417E-2</v>
      </c>
      <c r="E26" s="155">
        <f>-E25/'Income Statement'!E6</f>
        <v>3.9443092412968637E-2</v>
      </c>
      <c r="F26" s="155">
        <f>-F25/'Income Statement'!J6</f>
        <v>3.288124566886818E-2</v>
      </c>
      <c r="G26" s="318">
        <f>-G25/'Q - Income Statement'!H5</f>
        <v>2.8501010216802555E-2</v>
      </c>
      <c r="H26" s="318">
        <f>-H25/'Q - Income Statement'!I5</f>
        <v>3.667363680231623E-2</v>
      </c>
      <c r="I26" s="318">
        <f>-I25/'Q - Income Statement'!J5</f>
        <v>3.1710847143807126E-2</v>
      </c>
      <c r="J26" s="318">
        <f>-J25/'Q - Income Statement'!K5</f>
        <v>3.1050863167651488E-2</v>
      </c>
      <c r="K26" s="155">
        <f>-K25/'Income Statement'!O6</f>
        <v>3.2001275236341636E-2</v>
      </c>
      <c r="L26" s="318">
        <f>-L25/'Q - Income Statement'!M5</f>
        <v>3.6367474142961792E-2</v>
      </c>
      <c r="M26" s="318">
        <f>-M25/'Q - Income Statement'!N5</f>
        <v>3.7867881333931229E-2</v>
      </c>
      <c r="N26" s="318">
        <f>-N25/'Q - Income Statement'!O5</f>
        <v>3.4021389404993885E-2</v>
      </c>
      <c r="O26" s="318">
        <f>-O25/'Q - Income Statement'!P5</f>
        <v>3.1606008147695118E-2</v>
      </c>
      <c r="P26" s="155">
        <f>-P25/'Income Statement'!T6</f>
        <v>3.482678033701124E-2</v>
      </c>
      <c r="Q26" s="318">
        <f>-Q25/'Q - Income Statement'!R5</f>
        <v>3.4465944100893237E-2</v>
      </c>
      <c r="R26" s="318">
        <f>-R25/'Q - Income Statement'!S5</f>
        <v>2.7180901812751485E-2</v>
      </c>
      <c r="S26" s="318">
        <f>-S25/'Q - Income Statement'!T5</f>
        <v>3.1950442616223401E-2</v>
      </c>
      <c r="T26" s="318">
        <f>-T25/'Q - Income Statement'!U5</f>
        <v>4.5384263977228799E-2</v>
      </c>
      <c r="U26" s="155">
        <f>-U25/'Income Statement'!Y6</f>
        <v>3.5168157761471169E-2</v>
      </c>
      <c r="V26" s="318">
        <f>-V25/'Q - Income Statement'!W5</f>
        <v>4.9892625755259518E-2</v>
      </c>
      <c r="W26" s="105">
        <v>3.3000000000000002E-2</v>
      </c>
      <c r="X26" s="105">
        <v>3.3000000000000002E-2</v>
      </c>
      <c r="Y26" s="105">
        <v>3.3000000000000002E-2</v>
      </c>
      <c r="Z26" s="105">
        <v>3.3000000000000002E-2</v>
      </c>
      <c r="AA26" s="105">
        <v>3.3000000000000002E-2</v>
      </c>
      <c r="AB26" s="105">
        <v>3.3000000000000002E-2</v>
      </c>
      <c r="AC26" s="105">
        <v>3.3000000000000002E-2</v>
      </c>
      <c r="AD26" s="105">
        <v>3.3000000000000002E-2</v>
      </c>
      <c r="AE26" s="105">
        <v>3.3000000000000002E-2</v>
      </c>
      <c r="AF26" s="319"/>
      <c r="AG26" s="319"/>
      <c r="AH26" s="319"/>
      <c r="AI26" s="319"/>
      <c r="AJ26" s="319"/>
      <c r="AK26" s="319"/>
      <c r="AL26" s="319"/>
      <c r="AM26" s="319"/>
      <c r="AN26" s="320"/>
      <c r="AO26" s="320"/>
      <c r="AP26" s="320"/>
      <c r="AQ26" s="320"/>
      <c r="AR26" s="320"/>
    </row>
    <row r="27" spans="1:44" ht="19.5" customHeight="1">
      <c r="A27" s="329"/>
      <c r="D27" s="134"/>
      <c r="E27" s="134"/>
      <c r="F27" s="134"/>
      <c r="G27" s="135"/>
      <c r="H27" s="135"/>
      <c r="I27" s="135"/>
      <c r="J27" s="135"/>
      <c r="K27" s="134"/>
      <c r="L27" s="135"/>
      <c r="M27" s="135"/>
      <c r="N27" s="135"/>
      <c r="O27" s="135"/>
      <c r="P27" s="134"/>
      <c r="Q27" s="135"/>
      <c r="R27" s="135"/>
      <c r="S27" s="135"/>
      <c r="T27" s="135"/>
      <c r="U27" s="134"/>
      <c r="V27" s="135"/>
      <c r="W27" s="328"/>
      <c r="X27" s="328"/>
      <c r="Y27" s="328"/>
      <c r="Z27" s="328"/>
      <c r="AA27" s="328"/>
      <c r="AB27" s="328"/>
      <c r="AC27" s="328"/>
      <c r="AD27" s="328"/>
      <c r="AE27" s="328"/>
      <c r="AF27" s="668"/>
      <c r="AG27" s="308"/>
      <c r="AH27" s="308"/>
      <c r="AI27" s="308"/>
      <c r="AJ27" s="308"/>
      <c r="AK27" s="308"/>
      <c r="AL27" s="308"/>
      <c r="AM27" s="308"/>
    </row>
    <row r="28" spans="1:44" ht="19.5" customHeight="1">
      <c r="A28" s="307" t="s">
        <v>221</v>
      </c>
      <c r="D28" s="309">
        <v>24</v>
      </c>
      <c r="E28" s="309">
        <v>-287</v>
      </c>
      <c r="F28" s="309">
        <v>-506</v>
      </c>
      <c r="G28" s="310">
        <f>'Q - CFS Indirect'!C22</f>
        <v>50</v>
      </c>
      <c r="H28" s="310">
        <f>'Q - CFS Indirect'!D22</f>
        <v>-26</v>
      </c>
      <c r="I28" s="310">
        <f>'Q - CFS Indirect'!E22</f>
        <v>-351</v>
      </c>
      <c r="J28" s="310">
        <f>'Q - CFS Indirect'!F22</f>
        <v>-94</v>
      </c>
      <c r="K28" s="309">
        <v>-421</v>
      </c>
      <c r="L28" s="310">
        <f>'Q - CFS Indirect'!H22</f>
        <v>-125</v>
      </c>
      <c r="M28" s="310">
        <f>'Q - CFS Indirect'!I22</f>
        <v>-238</v>
      </c>
      <c r="N28" s="310">
        <f>'Q - CFS Indirect'!J22</f>
        <v>141</v>
      </c>
      <c r="O28" s="310">
        <f>'Q - CFS Indirect'!K22</f>
        <v>-390</v>
      </c>
      <c r="P28" s="309">
        <v>-612</v>
      </c>
      <c r="Q28" s="310">
        <f>'Q - CFS Indirect'!M22</f>
        <v>43</v>
      </c>
      <c r="R28" s="310">
        <f>'Q - CFS Indirect'!N22</f>
        <v>401</v>
      </c>
      <c r="S28" s="310">
        <f>'Q - CFS Indirect'!O22</f>
        <v>-200</v>
      </c>
      <c r="T28" s="310">
        <f>'Q - CFS Indirect'!P22</f>
        <v>-36</v>
      </c>
      <c r="U28" s="309">
        <v>208</v>
      </c>
      <c r="V28" s="310">
        <f>'Q - CFS Indirect'!R22</f>
        <v>-123</v>
      </c>
      <c r="W28" s="328">
        <v>0</v>
      </c>
      <c r="X28" s="328">
        <v>0</v>
      </c>
      <c r="Y28" s="328">
        <v>0</v>
      </c>
      <c r="Z28" s="328">
        <v>0</v>
      </c>
      <c r="AA28" s="328">
        <v>0</v>
      </c>
      <c r="AB28" s="328">
        <v>0</v>
      </c>
      <c r="AC28" s="328">
        <v>0</v>
      </c>
      <c r="AD28" s="328">
        <v>0</v>
      </c>
      <c r="AE28" s="328">
        <v>0</v>
      </c>
      <c r="AF28" s="304"/>
      <c r="AG28" s="304"/>
      <c r="AH28" s="304"/>
      <c r="AI28" s="304"/>
      <c r="AJ28" s="304"/>
      <c r="AK28" s="304"/>
      <c r="AL28" s="304"/>
      <c r="AM28" s="305"/>
      <c r="AN28" s="306"/>
      <c r="AO28" s="306"/>
      <c r="AP28" s="306"/>
      <c r="AQ28" s="306"/>
      <c r="AR28" s="306"/>
    </row>
    <row r="29" spans="1:44" ht="19.5" customHeight="1">
      <c r="A29" s="331"/>
      <c r="D29" s="313"/>
      <c r="E29" s="313"/>
      <c r="F29" s="313"/>
      <c r="G29" s="322"/>
      <c r="H29" s="322"/>
      <c r="I29" s="322"/>
      <c r="J29" s="322"/>
      <c r="K29" s="313"/>
      <c r="L29" s="322"/>
      <c r="M29" s="322"/>
      <c r="N29" s="322"/>
      <c r="O29" s="322"/>
      <c r="P29" s="313"/>
      <c r="Q29" s="322"/>
      <c r="R29" s="322"/>
      <c r="S29" s="322"/>
      <c r="T29" s="322"/>
      <c r="U29" s="313"/>
      <c r="V29" s="322"/>
      <c r="W29" s="328"/>
      <c r="X29" s="328"/>
      <c r="Y29" s="328"/>
      <c r="Z29" s="328"/>
      <c r="AA29" s="328"/>
      <c r="AB29" s="328"/>
      <c r="AC29" s="328"/>
      <c r="AD29" s="328"/>
      <c r="AE29" s="328"/>
      <c r="AF29" s="308"/>
      <c r="AG29" s="308"/>
      <c r="AH29" s="308"/>
      <c r="AI29" s="308"/>
      <c r="AJ29" s="308"/>
      <c r="AK29" s="308"/>
      <c r="AL29" s="308"/>
      <c r="AM29" s="308"/>
    </row>
    <row r="30" spans="1:44" ht="19.5" customHeight="1">
      <c r="A30" s="332" t="s">
        <v>203</v>
      </c>
      <c r="B30" s="330"/>
      <c r="C30" s="330"/>
      <c r="D30" s="333"/>
      <c r="E30" s="333"/>
      <c r="F30" s="333"/>
      <c r="G30" s="334"/>
      <c r="H30" s="334"/>
      <c r="I30" s="334"/>
      <c r="J30" s="334"/>
      <c r="K30" s="333"/>
      <c r="L30" s="334"/>
      <c r="M30" s="334"/>
      <c r="N30" s="334"/>
      <c r="O30" s="334"/>
      <c r="P30" s="333"/>
      <c r="Q30" s="334"/>
      <c r="R30" s="334"/>
      <c r="S30" s="334"/>
      <c r="T30" s="334"/>
      <c r="U30" s="333"/>
      <c r="V30" s="334"/>
      <c r="W30" s="335"/>
      <c r="X30" s="335"/>
      <c r="Y30" s="335"/>
      <c r="Z30" s="335"/>
      <c r="AA30" s="335"/>
      <c r="AB30" s="335"/>
      <c r="AC30" s="335"/>
      <c r="AD30" s="335"/>
      <c r="AE30" s="335"/>
      <c r="AF30" s="308"/>
      <c r="AG30" s="308"/>
      <c r="AH30" s="308"/>
      <c r="AI30" s="308"/>
      <c r="AJ30" s="308"/>
      <c r="AK30" s="308"/>
      <c r="AL30" s="308"/>
      <c r="AM30" s="308"/>
    </row>
    <row r="31" spans="1:44" ht="19.5" customHeight="1">
      <c r="A31" s="336"/>
      <c r="B31" s="278" t="s">
        <v>204</v>
      </c>
      <c r="D31" s="313">
        <f t="shared" ref="D31:V31" si="7">D20+D15+D7</f>
        <v>30112</v>
      </c>
      <c r="E31" s="313">
        <f t="shared" si="7"/>
        <v>22351</v>
      </c>
      <c r="F31" s="313">
        <f t="shared" si="7"/>
        <v>20061</v>
      </c>
      <c r="G31" s="297">
        <f t="shared" si="7"/>
        <v>6495</v>
      </c>
      <c r="H31" s="297">
        <f t="shared" si="7"/>
        <v>13365</v>
      </c>
      <c r="I31" s="297">
        <f t="shared" si="7"/>
        <v>11372</v>
      </c>
      <c r="J31" s="297">
        <f t="shared" ca="1" si="7"/>
        <v>104199.86349516849</v>
      </c>
      <c r="K31" s="313">
        <f t="shared" si="7"/>
        <v>24040</v>
      </c>
      <c r="L31" s="297">
        <f t="shared" si="7"/>
        <v>1033</v>
      </c>
      <c r="M31" s="297">
        <f t="shared" si="7"/>
        <v>2051</v>
      </c>
      <c r="N31" s="297">
        <f t="shared" si="7"/>
        <v>4556</v>
      </c>
      <c r="O31" s="297">
        <f t="shared" si="7"/>
        <v>9517</v>
      </c>
      <c r="P31" s="313">
        <f t="shared" si="7"/>
        <v>17157</v>
      </c>
      <c r="Q31" s="297">
        <f t="shared" si="7"/>
        <v>2678</v>
      </c>
      <c r="R31" s="297">
        <f t="shared" si="7"/>
        <v>7942</v>
      </c>
      <c r="S31" s="297">
        <f t="shared" si="7"/>
        <v>6089</v>
      </c>
      <c r="T31" s="297">
        <f t="shared" si="7"/>
        <v>33092</v>
      </c>
      <c r="U31" s="313">
        <f t="shared" si="7"/>
        <v>49801</v>
      </c>
      <c r="V31" s="297">
        <f t="shared" si="7"/>
        <v>30675</v>
      </c>
      <c r="W31" s="311">
        <f ca="1">W20+W15+W7</f>
        <v>73500.667657502927</v>
      </c>
      <c r="X31" s="311">
        <f t="shared" ref="X31:AE31" ca="1" si="8">X20+X15+X7</f>
        <v>-6602.3740823314874</v>
      </c>
      <c r="Y31" s="311">
        <f ca="1">Y20+Y15+Y7</f>
        <v>-17609.380999262998</v>
      </c>
      <c r="Z31" s="311">
        <f ca="1">SUM(V31:Y31)</f>
        <v>79963.912575908442</v>
      </c>
      <c r="AA31" s="311">
        <f t="shared" ca="1" si="8"/>
        <v>-65915.705302521645</v>
      </c>
      <c r="AB31" s="311">
        <f t="shared" ca="1" si="8"/>
        <v>-52747.707619222987</v>
      </c>
      <c r="AC31" s="311">
        <f t="shared" ca="1" si="8"/>
        <v>-40567.046469478111</v>
      </c>
      <c r="AD31" s="311">
        <f t="shared" ca="1" si="8"/>
        <v>31747.903242939094</v>
      </c>
      <c r="AE31" s="311">
        <f t="shared" ca="1" si="8"/>
        <v>41209.206515353755</v>
      </c>
      <c r="AF31" s="296"/>
      <c r="AG31" s="296"/>
      <c r="AH31" s="296"/>
      <c r="AI31" s="296"/>
      <c r="AJ31" s="296"/>
      <c r="AK31" s="296"/>
      <c r="AL31" s="296"/>
      <c r="AM31" s="296"/>
      <c r="AN31" s="297"/>
      <c r="AO31" s="297"/>
      <c r="AP31" s="297"/>
      <c r="AQ31" s="297"/>
      <c r="AR31" s="297"/>
    </row>
    <row r="32" spans="1:44" ht="19.5" customHeight="1">
      <c r="B32" s="278" t="s">
        <v>205</v>
      </c>
      <c r="D32" s="313">
        <v>119675</v>
      </c>
      <c r="E32" s="313">
        <f>D32+D31</f>
        <v>149787</v>
      </c>
      <c r="F32" s="313">
        <f>E32+E31</f>
        <v>172138</v>
      </c>
      <c r="G32" s="314">
        <f>'Q - CFS Indirect'!C25</f>
        <v>113762</v>
      </c>
      <c r="H32" s="314">
        <f>'Q - CFS Indirect'!D25</f>
        <v>120257</v>
      </c>
      <c r="I32" s="314">
        <f>'Q - CFS Indirect'!E25</f>
        <v>133622</v>
      </c>
      <c r="J32" s="314">
        <f>'Q - CFS Indirect'!F25</f>
        <v>144994</v>
      </c>
      <c r="K32" s="313">
        <f>F32+F31</f>
        <v>192199</v>
      </c>
      <c r="L32" s="314">
        <f>'Q - CFS Indirect'!H25</f>
        <v>137802</v>
      </c>
      <c r="M32" s="314">
        <f>'Q - CFS Indirect'!I25</f>
        <v>138835</v>
      </c>
      <c r="N32" s="314">
        <f>'Q - CFS Indirect'!J25</f>
        <v>140886</v>
      </c>
      <c r="O32" s="314">
        <f>'Q - CFS Indirect'!K25</f>
        <v>145442</v>
      </c>
      <c r="P32" s="313">
        <f>K32+K31</f>
        <v>216239</v>
      </c>
      <c r="Q32" s="314">
        <f>'Q - CFS Indirect'!M25</f>
        <v>154959</v>
      </c>
      <c r="R32" s="314">
        <f>'Q - CFS Indirect'!N25</f>
        <v>157637</v>
      </c>
      <c r="S32" s="314">
        <f>'Q - CFS Indirect'!O25</f>
        <v>165579</v>
      </c>
      <c r="T32" s="314">
        <f>'Q - CFS Indirect'!P25</f>
        <v>171668</v>
      </c>
      <c r="U32" s="313">
        <f>P32+P31</f>
        <v>233396</v>
      </c>
      <c r="V32" s="314">
        <f>U33</f>
        <v>126843</v>
      </c>
      <c r="W32" s="311">
        <f>BS!V10</f>
        <v>126840</v>
      </c>
      <c r="X32" s="311">
        <f ca="1">W33</f>
        <v>200340.66765750293</v>
      </c>
      <c r="Y32" s="311">
        <f ca="1">X33</f>
        <v>193738.29357517144</v>
      </c>
      <c r="Z32" s="311">
        <f>V33</f>
        <v>126843</v>
      </c>
      <c r="AA32" s="311">
        <f t="shared" ref="Y32:AE32" ca="1" si="9">Z33</f>
        <v>176128.91257590844</v>
      </c>
      <c r="AB32" s="311">
        <f t="shared" ca="1" si="9"/>
        <v>110213.2072733868</v>
      </c>
      <c r="AC32" s="311">
        <f t="shared" ca="1" si="9"/>
        <v>57465.49965416381</v>
      </c>
      <c r="AD32" s="311">
        <f t="shared" ca="1" si="9"/>
        <v>16898.453184685699</v>
      </c>
      <c r="AE32" s="311">
        <f t="shared" ca="1" si="9"/>
        <v>48646.356427624793</v>
      </c>
      <c r="AF32" s="315"/>
      <c r="AG32" s="315"/>
      <c r="AH32" s="315"/>
      <c r="AI32" s="315"/>
      <c r="AJ32" s="315"/>
      <c r="AK32" s="315"/>
      <c r="AL32" s="315"/>
      <c r="AM32" s="305"/>
      <c r="AN32" s="306"/>
      <c r="AO32" s="306"/>
      <c r="AP32" s="306"/>
      <c r="AQ32" s="306"/>
      <c r="AR32" s="306"/>
    </row>
    <row r="33" spans="1:44" ht="19.5" customHeight="1">
      <c r="A33" s="337" t="s">
        <v>206</v>
      </c>
      <c r="B33" s="338"/>
      <c r="C33" s="338"/>
      <c r="D33" s="339">
        <f>BS!D10</f>
        <v>136694</v>
      </c>
      <c r="E33" s="339">
        <f>BS!E10</f>
        <v>139649</v>
      </c>
      <c r="F33" s="339">
        <f>BS!F10</f>
        <v>113762</v>
      </c>
      <c r="G33" s="340">
        <f>G32+G31</f>
        <v>120257</v>
      </c>
      <c r="H33" s="340">
        <f>H32+H31</f>
        <v>133622</v>
      </c>
      <c r="I33" s="340">
        <f>I32+I31</f>
        <v>144994</v>
      </c>
      <c r="J33" s="340">
        <f ca="1">J32+J31</f>
        <v>249193.86349516851</v>
      </c>
      <c r="K33" s="339">
        <f>BS!K10</f>
        <v>110916</v>
      </c>
      <c r="L33" s="340">
        <f>L32+L31</f>
        <v>138835</v>
      </c>
      <c r="M33" s="340">
        <f>M32+M31</f>
        <v>140886</v>
      </c>
      <c r="N33" s="340">
        <f>N32+N31</f>
        <v>145442</v>
      </c>
      <c r="O33" s="340">
        <f>O32+O31</f>
        <v>154959</v>
      </c>
      <c r="P33" s="339">
        <f>BS!P10</f>
        <v>95657</v>
      </c>
      <c r="Q33" s="340">
        <f>Q32+Q31</f>
        <v>157637</v>
      </c>
      <c r="R33" s="340">
        <f>R32+R31</f>
        <v>165579</v>
      </c>
      <c r="S33" s="340">
        <f>S32+S31</f>
        <v>171668</v>
      </c>
      <c r="T33" s="340">
        <f>T32+T31</f>
        <v>204760</v>
      </c>
      <c r="U33" s="339">
        <f>BS!U10</f>
        <v>126843</v>
      </c>
      <c r="V33" s="340">
        <f>V32</f>
        <v>126843</v>
      </c>
      <c r="W33" s="341">
        <f ca="1">W31+W32</f>
        <v>200340.66765750293</v>
      </c>
      <c r="X33" s="341">
        <f t="shared" ref="X33:AE33" ca="1" si="10">X31+X32</f>
        <v>193738.29357517144</v>
      </c>
      <c r="Y33" s="341">
        <f t="shared" ca="1" si="10"/>
        <v>176128.91257590844</v>
      </c>
      <c r="Z33" s="341">
        <f ca="1">Y33</f>
        <v>176128.91257590844</v>
      </c>
      <c r="AA33" s="341">
        <f t="shared" ca="1" si="10"/>
        <v>110213.2072733868</v>
      </c>
      <c r="AB33" s="341">
        <f t="shared" ca="1" si="10"/>
        <v>57465.49965416381</v>
      </c>
      <c r="AC33" s="341">
        <f t="shared" ca="1" si="10"/>
        <v>16898.453184685699</v>
      </c>
      <c r="AD33" s="341">
        <f t="shared" ca="1" si="10"/>
        <v>48646.356427624793</v>
      </c>
      <c r="AE33" s="341">
        <f t="shared" ca="1" si="10"/>
        <v>89855.562942978548</v>
      </c>
      <c r="AF33" s="296"/>
      <c r="AG33" s="296"/>
      <c r="AH33" s="296"/>
      <c r="AI33" s="296"/>
      <c r="AJ33" s="296"/>
      <c r="AK33" s="296"/>
      <c r="AL33" s="296"/>
      <c r="AM33" s="296"/>
      <c r="AN33" s="297"/>
      <c r="AO33" s="297"/>
      <c r="AP33" s="297"/>
      <c r="AQ33" s="297"/>
      <c r="AR33" s="297"/>
    </row>
    <row r="34" spans="1:44" ht="25.5" customHeight="1">
      <c r="AF34" s="342"/>
      <c r="AG34" s="283"/>
      <c r="AH34" s="283"/>
      <c r="AI34" s="283"/>
      <c r="AJ34" s="283"/>
      <c r="AK34" s="283"/>
      <c r="AL34" s="283"/>
    </row>
    <row r="35" spans="1:44" ht="25.5" customHeight="1">
      <c r="AF35" s="327"/>
      <c r="AG35" s="343"/>
      <c r="AH35" s="344"/>
      <c r="AI35" s="343"/>
      <c r="AJ35" s="327"/>
      <c r="AK35" s="327"/>
      <c r="AL35" s="327"/>
    </row>
    <row r="36" spans="1:44" ht="24" customHeight="1"/>
  </sheetData>
  <mergeCells count="1">
    <mergeCell ref="A5:C5"/>
  </mergeCells>
  <pageMargins left="0.7" right="0.7" top="0.75" bottom="0.75" header="0.511811023622047" footer="0.511811023622047"/>
  <pageSetup orientation="portrait" horizontalDpi="300" verticalDpi="30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1141A"/>
  </sheetPr>
  <dimension ref="A1:BC61"/>
  <sheetViews>
    <sheetView showGridLines="0" zoomScale="70" zoomScaleNormal="70" workbookViewId="0">
      <pane xSplit="3" ySplit="5" topLeftCell="V6" activePane="bottomRight" state="frozen"/>
      <selection pane="bottomRight" activeCell="AJ22" sqref="AJ22"/>
      <selection pane="bottomLeft" activeCell="A6" sqref="A6"/>
      <selection pane="topRight" activeCell="Q1" sqref="Q1"/>
    </sheetView>
  </sheetViews>
  <sheetFormatPr defaultColWidth="8.5" defaultRowHeight="14.25"/>
  <cols>
    <col min="1" max="1" width="2" customWidth="1"/>
    <col min="2" max="2" width="3.625" customWidth="1"/>
    <col min="3" max="3" width="20.5" customWidth="1"/>
    <col min="4" max="14" width="9.875" customWidth="1"/>
    <col min="15" max="15" width="12.5" customWidth="1"/>
    <col min="16" max="26" width="9.875" customWidth="1"/>
    <col min="27" max="29" width="10.125" customWidth="1"/>
    <col min="30" max="30" width="11.5" customWidth="1"/>
    <col min="31" max="31" width="10" customWidth="1"/>
    <col min="32" max="33" width="10.375" customWidth="1"/>
    <col min="34" max="35" width="11.375" customWidth="1"/>
    <col min="36" max="36" width="13" customWidth="1"/>
    <col min="37" max="37" width="10.125" customWidth="1"/>
    <col min="38" max="38" width="10.875" customWidth="1"/>
  </cols>
  <sheetData>
    <row r="1" spans="1:53" ht="15" customHeight="1">
      <c r="A1" s="71"/>
      <c r="O1" s="72" t="s">
        <v>50</v>
      </c>
    </row>
    <row r="2" spans="1:53" ht="15" customHeight="1">
      <c r="O2" s="73" t="s">
        <v>51</v>
      </c>
    </row>
    <row r="3" spans="1:53" ht="15.75" customHeight="1">
      <c r="O3" s="74" t="s">
        <v>52</v>
      </c>
    </row>
    <row r="4" spans="1:53" ht="15" customHeight="1">
      <c r="O4" s="75"/>
      <c r="P4" s="75"/>
      <c r="Q4" s="75"/>
      <c r="R4" s="75"/>
      <c r="S4" s="75"/>
    </row>
    <row r="5" spans="1:53" ht="15" customHeight="1">
      <c r="A5" s="746" t="s">
        <v>222</v>
      </c>
      <c r="B5" s="746"/>
      <c r="C5" s="746"/>
      <c r="D5" s="76">
        <v>2020</v>
      </c>
      <c r="E5" s="76">
        <v>2021</v>
      </c>
      <c r="F5" s="76" t="s">
        <v>54</v>
      </c>
      <c r="G5" s="76" t="s">
        <v>55</v>
      </c>
      <c r="H5" s="76" t="s">
        <v>56</v>
      </c>
      <c r="I5" s="76" t="s">
        <v>57</v>
      </c>
      <c r="J5" s="76">
        <v>2022</v>
      </c>
      <c r="K5" s="76" t="s">
        <v>26</v>
      </c>
      <c r="L5" s="76" t="s">
        <v>27</v>
      </c>
      <c r="M5" s="76" t="s">
        <v>28</v>
      </c>
      <c r="N5" s="76" t="s">
        <v>29</v>
      </c>
      <c r="O5" s="76">
        <v>2023</v>
      </c>
      <c r="P5" s="76" t="s">
        <v>30</v>
      </c>
      <c r="Q5" s="76" t="s">
        <v>31</v>
      </c>
      <c r="R5" s="76" t="s">
        <v>32</v>
      </c>
      <c r="S5" s="76" t="s">
        <v>33</v>
      </c>
      <c r="T5" s="76">
        <v>2024</v>
      </c>
      <c r="U5" s="76" t="s">
        <v>34</v>
      </c>
      <c r="V5" s="76" t="s">
        <v>35</v>
      </c>
      <c r="W5" s="76" t="s">
        <v>36</v>
      </c>
      <c r="X5" s="76" t="s">
        <v>37</v>
      </c>
      <c r="Y5" s="76">
        <v>2025</v>
      </c>
      <c r="Z5" s="76" t="s">
        <v>38</v>
      </c>
      <c r="AA5" s="77" t="s">
        <v>58</v>
      </c>
      <c r="AB5" s="77" t="s">
        <v>59</v>
      </c>
      <c r="AC5" s="78" t="s">
        <v>60</v>
      </c>
      <c r="AD5" s="77">
        <v>2026</v>
      </c>
      <c r="AE5" s="77">
        <v>2027</v>
      </c>
      <c r="AF5" s="77">
        <v>2028</v>
      </c>
      <c r="AG5" s="77">
        <v>2029</v>
      </c>
      <c r="AH5" s="77">
        <v>2030</v>
      </c>
      <c r="AI5" s="77">
        <v>2031</v>
      </c>
    </row>
    <row r="6" spans="1:53" s="1" customFormat="1" ht="18.75" customHeight="1">
      <c r="A6" s="79" t="s">
        <v>61</v>
      </c>
      <c r="B6" s="80"/>
      <c r="C6" s="80"/>
      <c r="D6" s="81">
        <f t="shared" ref="D6:Z6" si="0">SUM(D8,D11,D14,D17,D22,D25,D28)</f>
        <v>182527</v>
      </c>
      <c r="E6" s="81">
        <f t="shared" si="0"/>
        <v>257637</v>
      </c>
      <c r="F6" s="82">
        <f t="shared" si="0"/>
        <v>68011</v>
      </c>
      <c r="G6" s="82">
        <f t="shared" si="0"/>
        <v>69685</v>
      </c>
      <c r="H6" s="82">
        <f t="shared" si="0"/>
        <v>69092</v>
      </c>
      <c r="I6" s="82">
        <f t="shared" si="0"/>
        <v>76048</v>
      </c>
      <c r="J6" s="81">
        <f t="shared" si="0"/>
        <v>282836</v>
      </c>
      <c r="K6" s="82">
        <f t="shared" si="0"/>
        <v>69787</v>
      </c>
      <c r="L6" s="82">
        <f t="shared" si="0"/>
        <v>74604</v>
      </c>
      <c r="M6" s="82">
        <f t="shared" si="0"/>
        <v>76693</v>
      </c>
      <c r="N6" s="82">
        <f t="shared" si="0"/>
        <v>86310</v>
      </c>
      <c r="O6" s="81">
        <f t="shared" si="0"/>
        <v>307394</v>
      </c>
      <c r="P6" s="82">
        <f t="shared" si="0"/>
        <v>80539</v>
      </c>
      <c r="Q6" s="82">
        <f t="shared" si="0"/>
        <v>84742</v>
      </c>
      <c r="R6" s="82">
        <f t="shared" si="0"/>
        <v>88268</v>
      </c>
      <c r="S6" s="82">
        <f t="shared" si="0"/>
        <v>96469</v>
      </c>
      <c r="T6" s="81">
        <f t="shared" si="0"/>
        <v>350018</v>
      </c>
      <c r="U6" s="82">
        <f t="shared" si="0"/>
        <v>90234</v>
      </c>
      <c r="V6" s="82">
        <f t="shared" si="0"/>
        <v>96428</v>
      </c>
      <c r="W6" s="82">
        <f t="shared" si="0"/>
        <v>102346</v>
      </c>
      <c r="X6" s="82">
        <f t="shared" si="0"/>
        <v>113828</v>
      </c>
      <c r="Y6" s="81">
        <f t="shared" si="0"/>
        <v>402836</v>
      </c>
      <c r="Z6" s="82">
        <f>SUM(Z8,Z11,Z14,Z17,Z22,Z25,Z28)</f>
        <v>109896</v>
      </c>
      <c r="AA6" s="82">
        <f>SUM(AA8,AA11,AA14,AA17,AA22,AA25,AA28)</f>
        <v>119510.96457299999</v>
      </c>
      <c r="AB6" s="82">
        <f t="shared" ref="AA6:AI6" si="1">SUM(AB8,AB11,AB14,AB17,AB22,AB25,AB28)</f>
        <v>134833.51975993899</v>
      </c>
      <c r="AC6" s="82">
        <f t="shared" si="1"/>
        <v>153408.58598743979</v>
      </c>
      <c r="AD6" s="82">
        <f t="shared" si="1"/>
        <v>517649.07032037876</v>
      </c>
      <c r="AE6" s="82">
        <f t="shared" si="1"/>
        <v>632924.59221626155</v>
      </c>
      <c r="AF6" s="82">
        <f t="shared" si="1"/>
        <v>749787.04113286035</v>
      </c>
      <c r="AG6" s="82">
        <f t="shared" si="1"/>
        <v>860924.23274749389</v>
      </c>
      <c r="AH6" s="82">
        <f t="shared" si="1"/>
        <v>969031.62869556004</v>
      </c>
      <c r="AI6" s="82">
        <f>SUM(AI8,AI11,AI14,AI17,AI22,AI25,AI28)</f>
        <v>1067907.8860664896</v>
      </c>
    </row>
    <row r="7" spans="1:53" ht="18.75" customHeight="1">
      <c r="A7" s="83"/>
      <c r="B7" s="84"/>
      <c r="C7" s="84"/>
      <c r="D7" s="85"/>
      <c r="E7" s="86"/>
      <c r="F7" s="87"/>
      <c r="G7" s="87"/>
      <c r="H7" s="87"/>
      <c r="I7" s="87"/>
      <c r="J7" s="86"/>
      <c r="K7" s="87"/>
      <c r="L7" s="87"/>
      <c r="M7" s="87"/>
      <c r="N7" s="87"/>
      <c r="O7" s="86"/>
      <c r="P7" s="87"/>
      <c r="Q7" s="87"/>
      <c r="R7" s="87"/>
      <c r="S7" s="87"/>
      <c r="T7" s="86"/>
      <c r="U7" s="87"/>
      <c r="V7" s="87"/>
      <c r="W7" s="87"/>
      <c r="X7" s="87"/>
      <c r="Y7" s="86"/>
      <c r="Z7" s="87"/>
      <c r="AA7" s="88"/>
      <c r="AB7" s="88"/>
      <c r="AC7" s="88"/>
      <c r="AD7" s="88"/>
      <c r="AE7" s="88"/>
      <c r="AF7" s="88"/>
      <c r="AG7" s="88"/>
      <c r="AH7" s="88"/>
      <c r="AI7" s="88"/>
      <c r="AJ7" s="89"/>
      <c r="AK7" s="1"/>
      <c r="AL7" s="1"/>
      <c r="AM7" s="1"/>
      <c r="AN7" s="1"/>
      <c r="AO7" s="1"/>
      <c r="AP7" s="1"/>
      <c r="AQ7" s="1"/>
      <c r="AR7" s="2"/>
      <c r="AS7" s="90"/>
      <c r="AT7" s="91"/>
      <c r="AU7" s="92"/>
      <c r="AV7" s="2"/>
      <c r="AW7" s="2"/>
      <c r="AX7" s="2"/>
      <c r="AY7" s="90"/>
      <c r="AZ7" s="91"/>
      <c r="BA7" s="92"/>
    </row>
    <row r="8" spans="1:53" ht="18.75" customHeight="1">
      <c r="A8" s="93" t="s">
        <v>223</v>
      </c>
      <c r="B8" s="84"/>
      <c r="C8" s="84"/>
      <c r="D8" s="94">
        <v>104062</v>
      </c>
      <c r="E8" s="94">
        <v>148951</v>
      </c>
      <c r="F8" s="95">
        <f>'Q - Build Up'!C5</f>
        <v>39618</v>
      </c>
      <c r="G8" s="95">
        <f>'Q - Build Up'!D5</f>
        <v>40689</v>
      </c>
      <c r="H8" s="95">
        <f>'Q - Build Up'!E5</f>
        <v>39539</v>
      </c>
      <c r="I8" s="95">
        <f>'Q - Build Up'!F5</f>
        <v>42604</v>
      </c>
      <c r="J8" s="94">
        <v>162450</v>
      </c>
      <c r="K8" s="95">
        <f>'Q - Build Up'!H5</f>
        <v>40359</v>
      </c>
      <c r="L8" s="95">
        <f>'Q - Build Up'!I5</f>
        <v>42628</v>
      </c>
      <c r="M8" s="95">
        <f>'Q - Build Up'!J5</f>
        <v>44026</v>
      </c>
      <c r="N8" s="95">
        <f>'Q - Build Up'!K5</f>
        <v>48020</v>
      </c>
      <c r="O8" s="94">
        <v>175033</v>
      </c>
      <c r="P8" s="95">
        <f>'Q - Build Up'!M5</f>
        <v>46156</v>
      </c>
      <c r="Q8" s="95">
        <f>'Q - Build Up'!N5</f>
        <v>48509</v>
      </c>
      <c r="R8" s="95">
        <f>'Q - Build Up'!O5</f>
        <v>49385</v>
      </c>
      <c r="S8" s="95">
        <f>'Q - Build Up'!P5</f>
        <v>54034</v>
      </c>
      <c r="T8" s="94">
        <v>198084</v>
      </c>
      <c r="U8" s="95">
        <f>'Q - Build Up'!R5</f>
        <v>50702</v>
      </c>
      <c r="V8" s="95">
        <f>'Q - Build Up'!S5</f>
        <v>54190</v>
      </c>
      <c r="W8" s="95">
        <f>'Q - Build Up'!T5</f>
        <v>56567</v>
      </c>
      <c r="X8" s="95">
        <f>'Q - Build Up'!U5</f>
        <v>63073</v>
      </c>
      <c r="Y8" s="94">
        <v>224532</v>
      </c>
      <c r="Z8" s="95">
        <f>'Q - Build Up'!W5</f>
        <v>60399</v>
      </c>
      <c r="AA8" s="96">
        <f>Z8*(AA9+1)</f>
        <v>69458.849999999991</v>
      </c>
      <c r="AB8" s="96">
        <f t="shared" ref="AB8:AC8" si="2">AA8*(AB9+1)</f>
        <v>79877.677499999991</v>
      </c>
      <c r="AC8" s="96">
        <f t="shared" si="2"/>
        <v>91859.329124999989</v>
      </c>
      <c r="AD8" s="97">
        <f>SUM(Z8:AC8)</f>
        <v>301594.85662499996</v>
      </c>
      <c r="AE8" s="96">
        <f>AD8*(AE9+1)</f>
        <v>361913.82794999995</v>
      </c>
      <c r="AF8" s="96">
        <f>AE8*(AF9+1)</f>
        <v>423439.17870149988</v>
      </c>
      <c r="AG8" s="96">
        <f t="shared" ref="AG8:AI8" si="3">AF8*(AG9+1)</f>
        <v>482720.6637197099</v>
      </c>
      <c r="AH8" s="96">
        <f t="shared" si="3"/>
        <v>540647.14336607512</v>
      </c>
      <c r="AI8" s="96">
        <f t="shared" si="3"/>
        <v>594711.85770268273</v>
      </c>
      <c r="AJ8" s="98"/>
      <c r="AK8" s="95"/>
      <c r="AL8" s="95"/>
      <c r="AM8" s="95"/>
      <c r="AN8" s="95"/>
      <c r="AO8" s="95"/>
      <c r="AP8" s="95"/>
      <c r="AQ8" s="2"/>
      <c r="AR8" s="2"/>
      <c r="AS8" s="90"/>
      <c r="AT8" s="91"/>
      <c r="AU8" s="92"/>
      <c r="AV8" s="2"/>
      <c r="AW8" s="2"/>
      <c r="AX8" s="2"/>
      <c r="AY8" s="90"/>
      <c r="AZ8" s="91"/>
      <c r="BA8" s="92"/>
    </row>
    <row r="9" spans="1:53" ht="18.75" customHeight="1">
      <c r="A9" s="93"/>
      <c r="B9" s="99" t="s">
        <v>224</v>
      </c>
      <c r="C9" s="84"/>
      <c r="D9" s="94"/>
      <c r="E9" s="86">
        <f>E8/D8-1</f>
        <v>0.43136783840402826</v>
      </c>
      <c r="F9" s="87"/>
      <c r="G9" s="87"/>
      <c r="H9" s="87"/>
      <c r="I9" s="87"/>
      <c r="J9" s="86">
        <f t="shared" ref="J9:Z9" si="4">J8/E8-1</f>
        <v>9.0627118985438182E-2</v>
      </c>
      <c r="K9" s="87">
        <f t="shared" si="4"/>
        <v>1.8703619566863505E-2</v>
      </c>
      <c r="L9" s="87">
        <f t="shared" si="4"/>
        <v>4.7654157143208309E-2</v>
      </c>
      <c r="M9" s="87">
        <f t="shared" si="4"/>
        <v>0.11348289031083225</v>
      </c>
      <c r="N9" s="87">
        <f t="shared" si="4"/>
        <v>0.12712421368885551</v>
      </c>
      <c r="O9" s="86">
        <f t="shared" si="4"/>
        <v>7.7457679285934056E-2</v>
      </c>
      <c r="P9" s="87">
        <f t="shared" si="4"/>
        <v>0.14363586808394668</v>
      </c>
      <c r="Q9" s="87">
        <f t="shared" si="4"/>
        <v>0.13796096462419061</v>
      </c>
      <c r="R9" s="87">
        <f t="shared" si="4"/>
        <v>0.12172352700676869</v>
      </c>
      <c r="S9" s="87">
        <f t="shared" si="4"/>
        <v>0.12523948354852155</v>
      </c>
      <c r="T9" s="86">
        <f t="shared" si="4"/>
        <v>0.13169516605440124</v>
      </c>
      <c r="U9" s="87">
        <f t="shared" si="4"/>
        <v>9.8492070370049367E-2</v>
      </c>
      <c r="V9" s="87">
        <f t="shared" si="4"/>
        <v>0.11711228844132027</v>
      </c>
      <c r="W9" s="87">
        <f t="shared" si="4"/>
        <v>0.14542877391920617</v>
      </c>
      <c r="X9" s="87">
        <f t="shared" si="4"/>
        <v>0.1672835622015767</v>
      </c>
      <c r="Y9" s="86">
        <f>Y8/T8-1</f>
        <v>0.13351911310353182</v>
      </c>
      <c r="Z9" s="87">
        <f>Z8/U8-1</f>
        <v>0.19125478284880271</v>
      </c>
      <c r="AA9" s="100">
        <f>Scenarios!D11</f>
        <v>0.15</v>
      </c>
      <c r="AB9" s="100">
        <f>Scenarios!E11</f>
        <v>0.15</v>
      </c>
      <c r="AC9" s="100">
        <f>Scenarios!F11</f>
        <v>0.15</v>
      </c>
      <c r="AD9" s="101"/>
      <c r="AE9" s="102">
        <f>Scenarios!G11</f>
        <v>0.2</v>
      </c>
      <c r="AF9" s="102">
        <f>Scenarios!H11</f>
        <v>0.17</v>
      </c>
      <c r="AG9" s="102">
        <f>Scenarios!I11</f>
        <v>0.14000000000000001</v>
      </c>
      <c r="AH9" s="102">
        <f>Scenarios!J11</f>
        <v>0.12</v>
      </c>
      <c r="AI9" s="102">
        <f>Scenarios!K11</f>
        <v>0.1</v>
      </c>
      <c r="AJ9" s="89"/>
      <c r="AK9" s="95"/>
      <c r="AL9" s="95"/>
      <c r="AM9" s="95"/>
      <c r="AN9" s="95"/>
      <c r="AO9" s="95"/>
      <c r="AP9" s="95"/>
      <c r="AQ9" s="2"/>
      <c r="AR9" s="2"/>
      <c r="AS9" s="90"/>
      <c r="AT9" s="91"/>
      <c r="AU9" s="92"/>
      <c r="AV9" s="2"/>
      <c r="AW9" s="2"/>
      <c r="AX9" s="2"/>
      <c r="AY9" s="90"/>
      <c r="AZ9" s="91"/>
      <c r="BA9" s="92"/>
    </row>
    <row r="10" spans="1:53" ht="18.75" customHeight="1">
      <c r="A10" s="93"/>
      <c r="B10" s="84"/>
      <c r="C10" s="84"/>
      <c r="D10" s="94"/>
      <c r="E10" s="86"/>
      <c r="F10" s="87"/>
      <c r="G10" s="87"/>
      <c r="H10" s="87"/>
      <c r="I10" s="87"/>
      <c r="J10" s="86"/>
      <c r="K10" s="87"/>
      <c r="L10" s="87"/>
      <c r="M10" s="87"/>
      <c r="N10" s="87"/>
      <c r="O10" s="86"/>
      <c r="P10" s="87"/>
      <c r="Q10" s="87"/>
      <c r="R10" s="87"/>
      <c r="S10" s="87"/>
      <c r="T10" s="86"/>
      <c r="U10" s="87"/>
      <c r="V10" s="87"/>
      <c r="W10" s="87"/>
      <c r="X10" s="87"/>
      <c r="Y10" s="86"/>
      <c r="Z10" s="87"/>
      <c r="AA10" s="88"/>
      <c r="AB10" s="88"/>
      <c r="AC10" s="88"/>
      <c r="AD10" s="88"/>
      <c r="AE10" s="88"/>
      <c r="AF10" s="88"/>
      <c r="AG10" s="88"/>
      <c r="AH10" s="88"/>
      <c r="AI10" s="88"/>
      <c r="AJ10" s="89"/>
      <c r="AK10" s="95"/>
      <c r="AL10" s="95"/>
      <c r="AM10" s="95"/>
      <c r="AN10" s="95"/>
      <c r="AO10" s="95"/>
      <c r="AP10" s="95"/>
      <c r="AQ10" s="2"/>
      <c r="AR10" s="2"/>
      <c r="AS10" s="90"/>
      <c r="AT10" s="91"/>
      <c r="AU10" s="92"/>
      <c r="AV10" s="2"/>
      <c r="AW10" s="2"/>
      <c r="AX10" s="2"/>
      <c r="AY10" s="90"/>
      <c r="AZ10" s="91"/>
      <c r="BA10" s="92"/>
    </row>
    <row r="11" spans="1:53" ht="18.75" customHeight="1">
      <c r="A11" s="93" t="s">
        <v>225</v>
      </c>
      <c r="B11" s="84"/>
      <c r="C11" s="84"/>
      <c r="D11" s="94">
        <v>19772</v>
      </c>
      <c r="E11" s="94">
        <v>28845</v>
      </c>
      <c r="F11" s="95">
        <f>'Q - Build Up'!C6</f>
        <v>6869</v>
      </c>
      <c r="G11" s="95">
        <f>'Q - Build Up'!D6</f>
        <v>7340</v>
      </c>
      <c r="H11" s="95">
        <f>'Q - Build Up'!E6</f>
        <v>7071</v>
      </c>
      <c r="I11" s="95">
        <f>'Q - Build Up'!F6</f>
        <v>7963</v>
      </c>
      <c r="J11" s="94">
        <v>29243</v>
      </c>
      <c r="K11" s="95">
        <f>'Q - Build Up'!H6</f>
        <v>6693</v>
      </c>
      <c r="L11" s="95">
        <f>'Q - Build Up'!I6</f>
        <v>7665</v>
      </c>
      <c r="M11" s="95">
        <f>'Q - Build Up'!J6</f>
        <v>7952</v>
      </c>
      <c r="N11" s="95">
        <f>'Q - Build Up'!K6</f>
        <v>9200</v>
      </c>
      <c r="O11" s="94">
        <v>31510</v>
      </c>
      <c r="P11" s="95">
        <f>'Q - Build Up'!M6</f>
        <v>8090</v>
      </c>
      <c r="Q11" s="95">
        <f>'Q - Build Up'!N6</f>
        <v>8663</v>
      </c>
      <c r="R11" s="95">
        <f>'Q - Build Up'!O6</f>
        <v>8921</v>
      </c>
      <c r="S11" s="95">
        <f>'Q - Build Up'!P6</f>
        <v>10473</v>
      </c>
      <c r="T11" s="94">
        <v>36147</v>
      </c>
      <c r="U11" s="95">
        <f>'Q - Build Up'!R6</f>
        <v>8927</v>
      </c>
      <c r="V11" s="95">
        <f>'Q - Build Up'!S6</f>
        <v>9796</v>
      </c>
      <c r="W11" s="95">
        <f>'Q - Build Up'!T6</f>
        <v>10261</v>
      </c>
      <c r="X11" s="95">
        <f>'Q - Build Up'!U6</f>
        <v>11383</v>
      </c>
      <c r="Y11" s="94">
        <v>40367</v>
      </c>
      <c r="Z11" s="95">
        <f>'Q - Build Up'!W6</f>
        <v>9883</v>
      </c>
      <c r="AA11" s="96">
        <f>Z11*(AA12+1)</f>
        <v>10772.470000000001</v>
      </c>
      <c r="AB11" s="96">
        <f t="shared" ref="AB11:AC11" si="5">AA11*(AB12+1)</f>
        <v>11741.992300000002</v>
      </c>
      <c r="AC11" s="96">
        <f>AB11*(AC12+1)</f>
        <v>12798.771607000002</v>
      </c>
      <c r="AD11" s="97">
        <f>SUM(Z11:AC11)</f>
        <v>45196.233907000002</v>
      </c>
      <c r="AE11" s="96">
        <f>AD11*(AE12+1)</f>
        <v>50619.781975840007</v>
      </c>
      <c r="AF11" s="96">
        <f>AE11*(AF12+1)</f>
        <v>56187.957993182412</v>
      </c>
      <c r="AG11" s="96">
        <f>AF11*(AG12+1)</f>
        <v>62368.63337243248</v>
      </c>
      <c r="AH11" s="96">
        <f>AG11*(AH12+1)</f>
        <v>68605.496709675732</v>
      </c>
      <c r="AI11" s="96">
        <f>AH11*(AI12+1)</f>
        <v>74779.991413546551</v>
      </c>
      <c r="AJ11" s="89"/>
      <c r="AK11" s="95"/>
      <c r="AL11" s="95"/>
      <c r="AM11" s="95"/>
      <c r="AN11" s="95"/>
      <c r="AO11" s="95"/>
      <c r="AP11" s="95"/>
      <c r="AQ11" s="2"/>
      <c r="AR11" s="2"/>
      <c r="AS11" s="90"/>
      <c r="AT11" s="91"/>
      <c r="AU11" s="92"/>
      <c r="AV11" s="2"/>
      <c r="AW11" s="2"/>
      <c r="AX11" s="2"/>
      <c r="AY11" s="90"/>
      <c r="AZ11" s="91"/>
      <c r="BA11" s="92"/>
    </row>
    <row r="12" spans="1:53" ht="18.75" customHeight="1">
      <c r="A12" s="93"/>
      <c r="B12" s="99" t="s">
        <v>224</v>
      </c>
      <c r="C12" s="84"/>
      <c r="D12" s="94"/>
      <c r="E12" s="86">
        <f>E11/D11-1</f>
        <v>0.45888124620675708</v>
      </c>
      <c r="F12" s="87"/>
      <c r="G12" s="87"/>
      <c r="H12" s="87"/>
      <c r="I12" s="87"/>
      <c r="J12" s="86">
        <f t="shared" ref="J12:Z12" si="6">J11/E11-1</f>
        <v>1.3797885248743258E-2</v>
      </c>
      <c r="K12" s="87">
        <f t="shared" si="6"/>
        <v>-2.5622361333527466E-2</v>
      </c>
      <c r="L12" s="87">
        <f t="shared" si="6"/>
        <v>4.4277929155313256E-2</v>
      </c>
      <c r="M12" s="87">
        <f t="shared" si="6"/>
        <v>0.12459340970159816</v>
      </c>
      <c r="N12" s="87">
        <f t="shared" si="6"/>
        <v>0.15534346351877426</v>
      </c>
      <c r="O12" s="86">
        <f t="shared" si="6"/>
        <v>7.7522825975447018E-2</v>
      </c>
      <c r="P12" s="87">
        <f t="shared" si="6"/>
        <v>0.20872553414014638</v>
      </c>
      <c r="Q12" s="87">
        <f t="shared" si="6"/>
        <v>0.13020221787345077</v>
      </c>
      <c r="R12" s="87">
        <f t="shared" si="6"/>
        <v>0.12185613682092544</v>
      </c>
      <c r="S12" s="87">
        <f t="shared" si="6"/>
        <v>0.1383695652173913</v>
      </c>
      <c r="T12" s="86">
        <f t="shared" si="6"/>
        <v>0.14715963186290071</v>
      </c>
      <c r="U12" s="87">
        <f t="shared" si="6"/>
        <v>0.10346106304079106</v>
      </c>
      <c r="V12" s="87">
        <f t="shared" si="6"/>
        <v>0.1307861018123051</v>
      </c>
      <c r="W12" s="87">
        <f t="shared" si="6"/>
        <v>0.15020737585472488</v>
      </c>
      <c r="X12" s="87">
        <f t="shared" si="6"/>
        <v>8.6890098348133327E-2</v>
      </c>
      <c r="Y12" s="86">
        <f t="shared" si="6"/>
        <v>0.11674551138407052</v>
      </c>
      <c r="Z12" s="87">
        <f t="shared" si="6"/>
        <v>0.10709084798924606</v>
      </c>
      <c r="AA12" s="100">
        <f>Scenarios!D19</f>
        <v>0.09</v>
      </c>
      <c r="AB12" s="100">
        <f>Scenarios!E19</f>
        <v>0.09</v>
      </c>
      <c r="AC12" s="100">
        <f>Scenarios!F19</f>
        <v>0.09</v>
      </c>
      <c r="AD12" s="101"/>
      <c r="AE12" s="102">
        <f>Scenarios!G19</f>
        <v>0.12</v>
      </c>
      <c r="AF12" s="102">
        <f>Scenarios!H19</f>
        <v>0.11</v>
      </c>
      <c r="AG12" s="102">
        <f>Scenarios!I19</f>
        <v>0.11</v>
      </c>
      <c r="AH12" s="102">
        <f>Scenarios!J19</f>
        <v>0.1</v>
      </c>
      <c r="AI12" s="102">
        <f>Scenarios!K19</f>
        <v>0.09</v>
      </c>
      <c r="AJ12" s="89"/>
      <c r="AK12" s="95"/>
      <c r="AL12" s="95"/>
      <c r="AM12" s="95"/>
      <c r="AN12" s="95"/>
      <c r="AO12" s="95"/>
      <c r="AP12" s="95"/>
      <c r="AQ12" s="103"/>
      <c r="AR12" s="2"/>
      <c r="AS12" s="90"/>
      <c r="AT12" s="91"/>
      <c r="AU12" s="92"/>
      <c r="AV12" s="2"/>
      <c r="AW12" s="2"/>
      <c r="AX12" s="2"/>
      <c r="AY12" s="90"/>
      <c r="AZ12" s="91"/>
      <c r="BA12" s="92"/>
    </row>
    <row r="13" spans="1:53" ht="18.75" customHeight="1">
      <c r="A13" s="93"/>
      <c r="B13" s="84"/>
      <c r="C13" s="84"/>
      <c r="D13" s="94"/>
      <c r="E13" s="86"/>
      <c r="F13" s="87"/>
      <c r="G13" s="87"/>
      <c r="H13" s="87"/>
      <c r="I13" s="87"/>
      <c r="J13" s="86"/>
      <c r="K13" s="87"/>
      <c r="L13" s="87"/>
      <c r="M13" s="87"/>
      <c r="N13" s="87"/>
      <c r="O13" s="86"/>
      <c r="P13" s="87"/>
      <c r="Q13" s="87"/>
      <c r="R13" s="87"/>
      <c r="S13" s="87"/>
      <c r="T13" s="86"/>
      <c r="U13" s="87"/>
      <c r="V13" s="87"/>
      <c r="W13" s="87"/>
      <c r="X13" s="87"/>
      <c r="Y13" s="86"/>
      <c r="Z13" s="87"/>
      <c r="AA13" s="88"/>
      <c r="AB13" s="88"/>
      <c r="AC13" s="88"/>
      <c r="AD13" s="88"/>
      <c r="AE13" s="88"/>
      <c r="AF13" s="88"/>
      <c r="AG13" s="88"/>
      <c r="AH13" s="88"/>
      <c r="AI13" s="88"/>
      <c r="AJ13" s="89"/>
      <c r="AK13" s="95"/>
      <c r="AL13" s="95"/>
      <c r="AM13" s="95"/>
      <c r="AN13" s="95"/>
      <c r="AO13" s="95"/>
      <c r="AP13" s="95"/>
      <c r="AQ13" s="2"/>
      <c r="AR13" s="2"/>
      <c r="AS13" s="90"/>
      <c r="AT13" s="91"/>
      <c r="AU13" s="92"/>
      <c r="AV13" s="2"/>
      <c r="AW13" s="2"/>
      <c r="AX13" s="2"/>
      <c r="AY13" s="90"/>
      <c r="AZ13" s="91"/>
      <c r="BA13" s="92"/>
    </row>
    <row r="14" spans="1:53" ht="18.75" customHeight="1">
      <c r="A14" s="93" t="s">
        <v>226</v>
      </c>
      <c r="B14" s="84"/>
      <c r="C14" s="84"/>
      <c r="D14" s="94">
        <v>23090</v>
      </c>
      <c r="E14" s="94">
        <v>31701</v>
      </c>
      <c r="F14" s="95">
        <f>'Q - Build Up'!C7</f>
        <v>8174</v>
      </c>
      <c r="G14" s="95">
        <f>'Q - Build Up'!D7</f>
        <v>8259</v>
      </c>
      <c r="H14" s="95">
        <f>'Q - Build Up'!E7</f>
        <v>7872</v>
      </c>
      <c r="I14" s="95">
        <f>'Q - Build Up'!F7</f>
        <v>8475</v>
      </c>
      <c r="J14" s="94">
        <v>32780</v>
      </c>
      <c r="K14" s="95">
        <f>'Q - Build Up'!H7</f>
        <v>7496</v>
      </c>
      <c r="L14" s="95">
        <f>'Q - Build Up'!I7</f>
        <v>7850</v>
      </c>
      <c r="M14" s="95">
        <f>'Q - Build Up'!J7</f>
        <v>7669</v>
      </c>
      <c r="N14" s="95">
        <f>'Q - Build Up'!K7</f>
        <v>8297</v>
      </c>
      <c r="O14" s="94">
        <v>31312</v>
      </c>
      <c r="P14" s="95">
        <f>'Q - Build Up'!M7</f>
        <v>7413</v>
      </c>
      <c r="Q14" s="95">
        <f>'Q - Build Up'!N7</f>
        <v>7444</v>
      </c>
      <c r="R14" s="95">
        <f>'Q - Build Up'!O7</f>
        <v>7548</v>
      </c>
      <c r="S14" s="95">
        <f>'Q - Build Up'!P7</f>
        <v>7954</v>
      </c>
      <c r="T14" s="94">
        <v>30359</v>
      </c>
      <c r="U14" s="95">
        <f>'Q - Build Up'!R7</f>
        <v>7256</v>
      </c>
      <c r="V14" s="95">
        <f>'Q - Build Up'!S7</f>
        <v>7354</v>
      </c>
      <c r="W14" s="95">
        <f>'Q - Build Up'!T7</f>
        <v>7354</v>
      </c>
      <c r="X14" s="95">
        <f>'Q - Build Up'!U7</f>
        <v>7828</v>
      </c>
      <c r="Y14" s="94">
        <v>29792</v>
      </c>
      <c r="Z14" s="95">
        <f>'Q - Build Up'!W7</f>
        <v>6971</v>
      </c>
      <c r="AA14" s="96">
        <f>Z14*(AA15+1)</f>
        <v>6950.0869999999995</v>
      </c>
      <c r="AB14" s="96">
        <f t="shared" ref="AB14:AC14" si="7">AA14*(AB15+1)</f>
        <v>6929.2367389999999</v>
      </c>
      <c r="AC14" s="96">
        <f t="shared" si="7"/>
        <v>6908.4490287830004</v>
      </c>
      <c r="AD14" s="97">
        <f>SUM(Z14:AC14)</f>
        <v>27758.772767783001</v>
      </c>
      <c r="AE14" s="96">
        <f>AD14*(AE15+1)</f>
        <v>27481.185040105171</v>
      </c>
      <c r="AF14" s="96">
        <f t="shared" ref="AF14:AI14" si="8">AE14*(AF15+1)</f>
        <v>27261.335559784329</v>
      </c>
      <c r="AG14" s="96">
        <f t="shared" si="8"/>
        <v>27097.767546425624</v>
      </c>
      <c r="AH14" s="96">
        <f t="shared" si="8"/>
        <v>26989.376476239922</v>
      </c>
      <c r="AI14" s="96">
        <f t="shared" si="8"/>
        <v>26935.397723287442</v>
      </c>
      <c r="AJ14" s="98"/>
      <c r="AK14" s="1"/>
      <c r="AL14" s="1"/>
      <c r="AM14" s="1"/>
      <c r="AN14" s="1"/>
      <c r="AO14" s="92"/>
      <c r="AP14" s="2"/>
      <c r="AQ14" s="2"/>
      <c r="AR14" s="2"/>
      <c r="AS14" s="90"/>
      <c r="AT14" s="91"/>
      <c r="AU14" s="92"/>
      <c r="AV14" s="2"/>
      <c r="AW14" s="2"/>
      <c r="AX14" s="2"/>
      <c r="AY14" s="90"/>
      <c r="AZ14" s="91"/>
      <c r="BA14" s="92"/>
    </row>
    <row r="15" spans="1:53" ht="18.75" customHeight="1">
      <c r="A15" s="93"/>
      <c r="B15" s="99" t="s">
        <v>224</v>
      </c>
      <c r="C15" s="84"/>
      <c r="D15" s="94"/>
      <c r="E15" s="86">
        <f>E14/D14-1</f>
        <v>0.37293200519705505</v>
      </c>
      <c r="F15" s="87"/>
      <c r="G15" s="87"/>
      <c r="H15" s="87"/>
      <c r="I15" s="87"/>
      <c r="J15" s="86">
        <f t="shared" ref="J15:Z15" si="9">J14/E14-1</f>
        <v>3.4036781174095365E-2</v>
      </c>
      <c r="K15" s="87">
        <f t="shared" si="9"/>
        <v>-8.294592610716911E-2</v>
      </c>
      <c r="L15" s="87">
        <f t="shared" si="9"/>
        <v>-4.9521733866085493E-2</v>
      </c>
      <c r="M15" s="87">
        <f t="shared" si="9"/>
        <v>-2.5787601626016232E-2</v>
      </c>
      <c r="N15" s="87">
        <f t="shared" si="9"/>
        <v>-2.1002949852507391E-2</v>
      </c>
      <c r="O15" s="86">
        <f t="shared" si="9"/>
        <v>-4.4783404514948111E-2</v>
      </c>
      <c r="P15" s="87">
        <f t="shared" si="9"/>
        <v>-1.1072572038420492E-2</v>
      </c>
      <c r="Q15" s="87">
        <f t="shared" si="9"/>
        <v>-5.1719745222929991E-2</v>
      </c>
      <c r="R15" s="87">
        <f t="shared" si="9"/>
        <v>-1.5777806754466051E-2</v>
      </c>
      <c r="S15" s="87">
        <f t="shared" si="9"/>
        <v>-4.1340243461492121E-2</v>
      </c>
      <c r="T15" s="86">
        <f t="shared" si="9"/>
        <v>-3.0435615738375055E-2</v>
      </c>
      <c r="U15" s="87">
        <f t="shared" si="9"/>
        <v>-2.1179009847565045E-2</v>
      </c>
      <c r="V15" s="87">
        <f t="shared" si="9"/>
        <v>-1.2090274046211769E-2</v>
      </c>
      <c r="W15" s="87">
        <f t="shared" si="9"/>
        <v>-2.5702172760996289E-2</v>
      </c>
      <c r="X15" s="87">
        <f t="shared" si="9"/>
        <v>-1.584108624591396E-2</v>
      </c>
      <c r="Y15" s="86">
        <f t="shared" si="9"/>
        <v>-1.8676504496195512E-2</v>
      </c>
      <c r="Z15" s="87">
        <f t="shared" si="9"/>
        <v>-3.9277839029768447E-2</v>
      </c>
      <c r="AA15" s="100">
        <f>Scenarios!D67</f>
        <v>-3.0000000000000001E-3</v>
      </c>
      <c r="AB15" s="100">
        <f>Scenarios!E67</f>
        <v>-3.0000000000000001E-3</v>
      </c>
      <c r="AC15" s="100">
        <f>Scenarios!F67</f>
        <v>-3.0000000000000001E-3</v>
      </c>
      <c r="AD15" s="101"/>
      <c r="AE15" s="102">
        <f>Scenarios!G67</f>
        <v>-0.01</v>
      </c>
      <c r="AF15" s="102">
        <f>Scenarios!H67</f>
        <v>-8.0000000000000002E-3</v>
      </c>
      <c r="AG15" s="102">
        <f>Scenarios!I67</f>
        <v>-6.0000000000000001E-3</v>
      </c>
      <c r="AH15" s="102">
        <f>Scenarios!J67</f>
        <v>-4.0000000000000001E-3</v>
      </c>
      <c r="AI15" s="102">
        <f>Scenarios!K67</f>
        <v>-2E-3</v>
      </c>
      <c r="AJ15" s="89"/>
      <c r="AK15" s="1"/>
      <c r="AL15" s="1"/>
      <c r="AM15" s="1"/>
      <c r="AN15" s="1"/>
      <c r="AO15" s="92"/>
      <c r="AP15" s="2"/>
      <c r="AQ15" s="2"/>
      <c r="AR15" s="2"/>
      <c r="AS15" s="90"/>
      <c r="AT15" s="91"/>
      <c r="AU15" s="92"/>
      <c r="AV15" s="2"/>
      <c r="AW15" s="2"/>
      <c r="AX15" s="2"/>
      <c r="AY15" s="90"/>
      <c r="AZ15" s="91"/>
      <c r="BA15" s="92"/>
    </row>
    <row r="16" spans="1:53" ht="18.75" customHeight="1">
      <c r="A16" s="93"/>
      <c r="B16" s="84"/>
      <c r="C16" s="84"/>
      <c r="D16" s="94"/>
      <c r="E16" s="86"/>
      <c r="F16" s="87"/>
      <c r="G16" s="87"/>
      <c r="H16" s="87"/>
      <c r="I16" s="87"/>
      <c r="J16" s="86"/>
      <c r="K16" s="87"/>
      <c r="L16" s="87"/>
      <c r="M16" s="87"/>
      <c r="N16" s="87"/>
      <c r="O16" s="86"/>
      <c r="P16" s="87"/>
      <c r="Q16" s="87"/>
      <c r="R16" s="87"/>
      <c r="S16" s="87"/>
      <c r="T16" s="86"/>
      <c r="U16" s="87"/>
      <c r="V16" s="87"/>
      <c r="W16" s="87"/>
      <c r="X16" s="87"/>
      <c r="Y16" s="86"/>
      <c r="Z16" s="87"/>
      <c r="AA16" s="88"/>
      <c r="AB16" s="88"/>
      <c r="AC16" s="88"/>
      <c r="AD16" s="88"/>
      <c r="AE16" s="88"/>
      <c r="AF16" s="88"/>
      <c r="AG16" s="88"/>
      <c r="AH16" s="88"/>
      <c r="AI16" s="88"/>
      <c r="AJ16" s="89"/>
      <c r="AK16" s="1"/>
      <c r="AL16" s="1"/>
      <c r="AM16" s="1"/>
      <c r="AN16" s="1"/>
      <c r="AO16" s="92"/>
      <c r="AP16" s="2"/>
      <c r="AQ16" s="2"/>
      <c r="AR16" s="2"/>
      <c r="AS16" s="90"/>
      <c r="AT16" s="91"/>
      <c r="AU16" s="92"/>
      <c r="AV16" s="2"/>
      <c r="AW16" s="2"/>
      <c r="AX16" s="2"/>
      <c r="AY16" s="90"/>
      <c r="AZ16" s="91"/>
      <c r="BA16" s="92"/>
    </row>
    <row r="17" spans="1:55" ht="18.75" customHeight="1">
      <c r="A17" s="93" t="s">
        <v>227</v>
      </c>
      <c r="B17" s="84"/>
      <c r="C17" s="84"/>
      <c r="D17" s="94">
        <v>21711</v>
      </c>
      <c r="E17" s="94">
        <v>28032</v>
      </c>
      <c r="F17" s="95">
        <f>'Q - Build Up'!C8</f>
        <v>6811</v>
      </c>
      <c r="G17" s="95">
        <f>'Q - Build Up'!D8</f>
        <v>6553</v>
      </c>
      <c r="H17" s="95">
        <f>'Q - Build Up'!E8</f>
        <v>6895</v>
      </c>
      <c r="I17" s="95">
        <f>'Q - Build Up'!F8</f>
        <v>8796</v>
      </c>
      <c r="J17" s="94">
        <v>29055</v>
      </c>
      <c r="K17" s="95">
        <f>'Q - Build Up'!H8</f>
        <v>7413</v>
      </c>
      <c r="L17" s="95">
        <f>'Q - Build Up'!I8</f>
        <v>8142</v>
      </c>
      <c r="M17" s="95">
        <f>'Q - Build Up'!J8</f>
        <v>8339</v>
      </c>
      <c r="N17" s="95">
        <f>'Q - Build Up'!K8</f>
        <v>10794</v>
      </c>
      <c r="O17" s="94">
        <v>34688</v>
      </c>
      <c r="P17" s="95">
        <f>'Q - Build Up'!M8</f>
        <v>8739</v>
      </c>
      <c r="Q17" s="95">
        <f>'Q - Build Up'!N8</f>
        <v>9312</v>
      </c>
      <c r="R17" s="95">
        <f>'Q - Build Up'!O8</f>
        <v>10656</v>
      </c>
      <c r="S17" s="95">
        <f>'Q - Build Up'!P8</f>
        <v>11633</v>
      </c>
      <c r="T17" s="94">
        <v>40340</v>
      </c>
      <c r="U17" s="95">
        <f>'Q - Build Up'!R8</f>
        <v>10379</v>
      </c>
      <c r="V17" s="95">
        <f>'Q - Build Up'!S8</f>
        <v>11203</v>
      </c>
      <c r="W17" s="95">
        <f>'Q - Build Up'!T8</f>
        <v>12870</v>
      </c>
      <c r="X17" s="95">
        <f>'Q - Build Up'!U8</f>
        <v>13578</v>
      </c>
      <c r="Y17" s="94">
        <v>48030</v>
      </c>
      <c r="Z17" s="95">
        <f>'Q - Build Up'!W8</f>
        <v>12384</v>
      </c>
      <c r="AA17" s="96">
        <f>Z17*(AA18+1)</f>
        <v>14117.760000000002</v>
      </c>
      <c r="AB17" s="96">
        <f t="shared" ref="AB17:AC17" si="10">AA17*(AB18+1)</f>
        <v>16094.246400000004</v>
      </c>
      <c r="AC17" s="96">
        <f t="shared" si="10"/>
        <v>18347.440896000007</v>
      </c>
      <c r="AD17" s="97">
        <f>SUM(Z17:AC17)</f>
        <v>60943.447296000013</v>
      </c>
      <c r="AE17" s="96">
        <f>AD17*(AE18+1)</f>
        <v>70084.964390400011</v>
      </c>
      <c r="AF17" s="96">
        <f>AE17*(AF18+1)</f>
        <v>81298.558692864011</v>
      </c>
      <c r="AG17" s="96">
        <f t="shared" ref="AF17:AI17" si="11">AF17*(AG18+1)</f>
        <v>95119.313670650881</v>
      </c>
      <c r="AH17" s="96">
        <f t="shared" si="11"/>
        <v>110338.40385795501</v>
      </c>
      <c r="AI17" s="96">
        <f t="shared" si="11"/>
        <v>126889.16443664825</v>
      </c>
      <c r="AJ17" s="89"/>
      <c r="AK17" s="1"/>
      <c r="AL17" s="1"/>
      <c r="AM17" s="1"/>
      <c r="AN17" s="1"/>
      <c r="AO17" s="92"/>
      <c r="AP17" s="2"/>
      <c r="AQ17" s="2"/>
      <c r="AR17" s="2"/>
      <c r="AS17" s="90"/>
      <c r="AT17" s="91"/>
      <c r="AU17" s="92"/>
      <c r="AV17" s="2"/>
      <c r="AW17" s="2"/>
      <c r="AX17" s="2"/>
      <c r="AY17" s="90"/>
      <c r="AZ17" s="91"/>
      <c r="BA17" s="92"/>
    </row>
    <row r="18" spans="1:55" ht="18.75" customHeight="1">
      <c r="A18" s="93"/>
      <c r="B18" s="84"/>
      <c r="C18" s="84"/>
      <c r="D18" s="94"/>
      <c r="E18" s="86">
        <f>E17/D17-1</f>
        <v>0.29114273870388274</v>
      </c>
      <c r="F18" s="87"/>
      <c r="G18" s="87"/>
      <c r="H18" s="87"/>
      <c r="I18" s="87"/>
      <c r="J18" s="86">
        <f t="shared" ref="J18:Z18" si="12">J17/E17-1</f>
        <v>3.6494006849315141E-2</v>
      </c>
      <c r="K18" s="87">
        <f t="shared" si="12"/>
        <v>8.8386433710174739E-2</v>
      </c>
      <c r="L18" s="87">
        <f t="shared" si="12"/>
        <v>0.24248435830917137</v>
      </c>
      <c r="M18" s="87">
        <f t="shared" si="12"/>
        <v>0.20942712110224804</v>
      </c>
      <c r="N18" s="87">
        <f t="shared" si="12"/>
        <v>0.22714870395634379</v>
      </c>
      <c r="O18" s="86">
        <f t="shared" si="12"/>
        <v>0.19387368783341929</v>
      </c>
      <c r="P18" s="87">
        <f t="shared" si="12"/>
        <v>0.17887494941319293</v>
      </c>
      <c r="Q18" s="87">
        <f t="shared" si="12"/>
        <v>0.14369933677229185</v>
      </c>
      <c r="R18" s="87">
        <f t="shared" si="12"/>
        <v>0.2778510612783307</v>
      </c>
      <c r="S18" s="87">
        <f t="shared" si="12"/>
        <v>7.772836761163604E-2</v>
      </c>
      <c r="T18" s="86">
        <f t="shared" si="12"/>
        <v>0.16293819188191883</v>
      </c>
      <c r="U18" s="87">
        <f t="shared" si="12"/>
        <v>0.18766449250486317</v>
      </c>
      <c r="V18" s="87">
        <f t="shared" si="12"/>
        <v>0.20307130584192445</v>
      </c>
      <c r="W18" s="87">
        <f t="shared" si="12"/>
        <v>0.20777027027027017</v>
      </c>
      <c r="X18" s="87">
        <f t="shared" si="12"/>
        <v>0.1671967678156967</v>
      </c>
      <c r="Y18" s="665">
        <f>Y17/T17-1</f>
        <v>0.1906296479920675</v>
      </c>
      <c r="Z18" s="87">
        <f t="shared" si="12"/>
        <v>0.19317853357741588</v>
      </c>
      <c r="AA18" s="100">
        <f>Scenarios!D27</f>
        <v>0.14000000000000001</v>
      </c>
      <c r="AB18" s="100">
        <f>Scenarios!E27</f>
        <v>0.14000000000000001</v>
      </c>
      <c r="AC18" s="100">
        <f>Scenarios!F27</f>
        <v>0.14000000000000001</v>
      </c>
      <c r="AD18" s="101"/>
      <c r="AE18" s="664">
        <f>Scenarios!G27</f>
        <v>0.15</v>
      </c>
      <c r="AF18" s="664">
        <f>Scenarios!H27</f>
        <v>0.16</v>
      </c>
      <c r="AG18" s="664">
        <f>Scenarios!I27</f>
        <v>0.17</v>
      </c>
      <c r="AH18" s="664">
        <f>Scenarios!J27</f>
        <v>0.16</v>
      </c>
      <c r="AI18" s="664">
        <f>Scenarios!K27</f>
        <v>0.15</v>
      </c>
      <c r="AJ18" s="89"/>
      <c r="AK18" s="1"/>
      <c r="AL18" s="1"/>
      <c r="AM18" s="1"/>
      <c r="AN18" s="1"/>
      <c r="AO18" s="92"/>
      <c r="AP18" s="2"/>
      <c r="AQ18" s="2"/>
      <c r="AR18" s="2"/>
      <c r="AS18" s="90"/>
      <c r="AT18" s="91"/>
      <c r="AU18" s="92"/>
      <c r="AV18" s="2"/>
      <c r="AW18" s="2"/>
      <c r="AX18" s="2"/>
      <c r="AY18" s="90"/>
      <c r="AZ18" s="91"/>
      <c r="BA18" s="92"/>
    </row>
    <row r="19" spans="1:55" ht="18.75" customHeight="1">
      <c r="A19" s="93"/>
      <c r="B19" s="84"/>
      <c r="C19" s="84"/>
      <c r="D19" s="94"/>
      <c r="E19" s="86"/>
      <c r="F19" s="87"/>
      <c r="G19" s="87"/>
      <c r="H19" s="87"/>
      <c r="I19" s="87"/>
      <c r="J19" s="86"/>
      <c r="K19" s="87"/>
      <c r="L19" s="87"/>
      <c r="M19" s="87"/>
      <c r="N19" s="87"/>
      <c r="O19" s="86"/>
      <c r="P19" s="87"/>
      <c r="Q19" s="87"/>
      <c r="R19" s="87"/>
      <c r="S19" s="87"/>
      <c r="T19" s="86"/>
      <c r="U19" s="87"/>
      <c r="V19" s="87"/>
      <c r="W19" s="87"/>
      <c r="X19" s="87"/>
      <c r="Y19" s="86"/>
      <c r="Z19" s="87"/>
      <c r="AA19" s="105"/>
      <c r="AB19" s="105"/>
      <c r="AC19" s="105"/>
      <c r="AD19" s="101"/>
      <c r="AE19" s="101"/>
      <c r="AF19" s="101"/>
      <c r="AG19" s="101"/>
      <c r="AH19" s="101"/>
      <c r="AI19" s="101"/>
      <c r="AJ19" s="89"/>
      <c r="AK19" s="1"/>
      <c r="AL19" s="1"/>
      <c r="AM19" s="1"/>
      <c r="AN19" s="1"/>
      <c r="AO19" s="92"/>
      <c r="AP19" s="2"/>
      <c r="AQ19" s="2"/>
      <c r="AR19" s="2"/>
      <c r="AS19" s="90"/>
      <c r="AT19" s="91"/>
      <c r="AU19" s="92"/>
      <c r="AV19" s="2"/>
      <c r="AW19" s="2"/>
      <c r="AX19" s="2"/>
      <c r="AY19" s="90"/>
      <c r="AZ19" s="91"/>
      <c r="BA19" s="92"/>
    </row>
    <row r="20" spans="1:55" ht="18.75" customHeight="1">
      <c r="A20" s="106" t="s">
        <v>228</v>
      </c>
      <c r="B20" s="107"/>
      <c r="C20" s="107"/>
      <c r="D20" s="108">
        <f t="shared" ref="D20:Z20" si="13">SUM(D17,D14,D11,D8)</f>
        <v>168635</v>
      </c>
      <c r="E20" s="108">
        <f t="shared" si="13"/>
        <v>237529</v>
      </c>
      <c r="F20" s="109">
        <f t="shared" si="13"/>
        <v>61472</v>
      </c>
      <c r="G20" s="109">
        <f t="shared" si="13"/>
        <v>62841</v>
      </c>
      <c r="H20" s="109">
        <f t="shared" si="13"/>
        <v>61377</v>
      </c>
      <c r="I20" s="109">
        <f t="shared" si="13"/>
        <v>67838</v>
      </c>
      <c r="J20" s="108">
        <f t="shared" si="13"/>
        <v>253528</v>
      </c>
      <c r="K20" s="109">
        <f t="shared" si="13"/>
        <v>61961</v>
      </c>
      <c r="L20" s="109">
        <f t="shared" si="13"/>
        <v>66285</v>
      </c>
      <c r="M20" s="109">
        <f t="shared" si="13"/>
        <v>67986</v>
      </c>
      <c r="N20" s="109">
        <f t="shared" si="13"/>
        <v>76311</v>
      </c>
      <c r="O20" s="108">
        <f t="shared" si="13"/>
        <v>272543</v>
      </c>
      <c r="P20" s="109">
        <f t="shared" si="13"/>
        <v>70398</v>
      </c>
      <c r="Q20" s="109">
        <f t="shared" si="13"/>
        <v>73928</v>
      </c>
      <c r="R20" s="109">
        <f t="shared" si="13"/>
        <v>76510</v>
      </c>
      <c r="S20" s="109">
        <f t="shared" si="13"/>
        <v>84094</v>
      </c>
      <c r="T20" s="108">
        <f t="shared" si="13"/>
        <v>304930</v>
      </c>
      <c r="U20" s="109">
        <f t="shared" si="13"/>
        <v>77264</v>
      </c>
      <c r="V20" s="109">
        <f t="shared" si="13"/>
        <v>82543</v>
      </c>
      <c r="W20" s="109">
        <f t="shared" si="13"/>
        <v>87052</v>
      </c>
      <c r="X20" s="109">
        <f t="shared" si="13"/>
        <v>95862</v>
      </c>
      <c r="Y20" s="108">
        <f t="shared" si="13"/>
        <v>342721</v>
      </c>
      <c r="Z20" s="109">
        <f t="shared" si="13"/>
        <v>89637</v>
      </c>
      <c r="AA20" s="110">
        <f>SUM(AA8,AA11,AA14,AA17)</f>
        <v>101299.16699999999</v>
      </c>
      <c r="AB20" s="110">
        <f t="shared" ref="AB20:AI20" si="14">SUM(AB8,AB11,AB14,AB17)</f>
        <v>114643.15293899999</v>
      </c>
      <c r="AC20" s="110">
        <f t="shared" si="14"/>
        <v>129913.99065678299</v>
      </c>
      <c r="AD20" s="110">
        <f t="shared" si="14"/>
        <v>435493.310595783</v>
      </c>
      <c r="AE20" s="110">
        <f t="shared" si="14"/>
        <v>510099.75935634517</v>
      </c>
      <c r="AF20" s="110">
        <f t="shared" si="14"/>
        <v>588187.03094733064</v>
      </c>
      <c r="AG20" s="110">
        <f t="shared" si="14"/>
        <v>667306.37830921891</v>
      </c>
      <c r="AH20" s="110">
        <f t="shared" si="14"/>
        <v>746580.42040994577</v>
      </c>
      <c r="AI20" s="110">
        <f t="shared" si="14"/>
        <v>823316.41127616493</v>
      </c>
      <c r="AJ20" s="89"/>
      <c r="AK20" s="1"/>
      <c r="AL20" s="1"/>
      <c r="AM20" s="1"/>
      <c r="AN20" s="1"/>
      <c r="AO20" s="92"/>
      <c r="AP20" s="2"/>
      <c r="AQ20" s="2"/>
      <c r="AR20" s="2"/>
      <c r="AS20" s="90"/>
      <c r="AT20" s="91"/>
      <c r="AU20" s="92"/>
      <c r="AV20" s="2"/>
      <c r="AW20" s="2"/>
      <c r="AX20" s="2"/>
      <c r="AY20" s="90"/>
      <c r="AZ20" s="91"/>
      <c r="BA20" s="92"/>
    </row>
    <row r="21" spans="1:55" ht="18.75" customHeight="1">
      <c r="A21" s="93"/>
      <c r="B21" s="84"/>
      <c r="C21" s="84"/>
      <c r="D21" s="94"/>
      <c r="E21" s="86"/>
      <c r="F21" s="87"/>
      <c r="G21" s="87"/>
      <c r="H21" s="87"/>
      <c r="I21" s="87"/>
      <c r="J21" s="86"/>
      <c r="K21" s="87"/>
      <c r="L21" s="87"/>
      <c r="M21" s="87"/>
      <c r="N21" s="87"/>
      <c r="O21" s="86"/>
      <c r="P21" s="87"/>
      <c r="Q21" s="87"/>
      <c r="R21" s="87"/>
      <c r="S21" s="87"/>
      <c r="T21" s="86"/>
      <c r="U21" s="87"/>
      <c r="V21" s="87"/>
      <c r="W21" s="87"/>
      <c r="X21" s="87"/>
      <c r="Y21" s="86"/>
      <c r="Z21" s="87"/>
      <c r="AA21" s="88"/>
      <c r="AB21" s="88"/>
      <c r="AC21" s="88"/>
      <c r="AD21" s="88"/>
      <c r="AE21" s="88"/>
      <c r="AF21" s="88"/>
      <c r="AG21" s="88"/>
      <c r="AH21" s="88"/>
      <c r="AI21" s="88"/>
      <c r="AJ21" s="89"/>
      <c r="AK21" s="1"/>
      <c r="AL21" s="1"/>
      <c r="AM21" s="1"/>
      <c r="AN21" s="1"/>
      <c r="AO21" s="92"/>
      <c r="AP21" s="2"/>
      <c r="AQ21" s="2"/>
      <c r="AR21" s="2"/>
      <c r="AS21" s="90"/>
      <c r="AT21" s="91"/>
      <c r="AU21" s="92"/>
      <c r="AV21" s="2"/>
      <c r="AW21" s="2"/>
      <c r="AX21" s="2"/>
      <c r="AY21" s="90"/>
      <c r="AZ21" s="91"/>
      <c r="BA21" s="92"/>
    </row>
    <row r="22" spans="1:55" ht="18.75" customHeight="1">
      <c r="A22" s="93" t="s">
        <v>229</v>
      </c>
      <c r="B22" s="84"/>
      <c r="C22" s="84"/>
      <c r="D22" s="94">
        <v>13059</v>
      </c>
      <c r="E22" s="94">
        <v>19206</v>
      </c>
      <c r="F22" s="95">
        <f>'Q - Build Up'!C10</f>
        <v>5821</v>
      </c>
      <c r="G22" s="95">
        <f>'Q - Build Up'!D10</f>
        <v>6276</v>
      </c>
      <c r="H22" s="95">
        <f>'Q - Build Up'!E10</f>
        <v>6868</v>
      </c>
      <c r="I22" s="95">
        <f>'Q - Build Up'!F10</f>
        <v>7315</v>
      </c>
      <c r="J22" s="94">
        <v>26280</v>
      </c>
      <c r="K22" s="95">
        <f>'Q - Build Up'!H10</f>
        <v>7454</v>
      </c>
      <c r="L22" s="95">
        <f>'Q - Build Up'!I10</f>
        <v>8031</v>
      </c>
      <c r="M22" s="95">
        <f>'Q - Build Up'!J10</f>
        <v>8411</v>
      </c>
      <c r="N22" s="95">
        <f>'Q - Build Up'!K10</f>
        <v>9192</v>
      </c>
      <c r="O22" s="94">
        <v>33088</v>
      </c>
      <c r="P22" s="95">
        <f>'Q - Build Up'!M10</f>
        <v>9574</v>
      </c>
      <c r="Q22" s="95">
        <f>'Q - Build Up'!N10</f>
        <v>10347</v>
      </c>
      <c r="R22" s="95">
        <f>'Q - Build Up'!O10</f>
        <v>11353</v>
      </c>
      <c r="S22" s="95">
        <f>'Q - Build Up'!P10</f>
        <v>11955</v>
      </c>
      <c r="T22" s="94">
        <v>43229</v>
      </c>
      <c r="U22" s="95">
        <f>'Q - Build Up'!R10</f>
        <v>12260</v>
      </c>
      <c r="V22" s="95">
        <f>'Q - Build Up'!S10</f>
        <v>13624</v>
      </c>
      <c r="W22" s="95">
        <f>'Q - Build Up'!T10</f>
        <v>15157</v>
      </c>
      <c r="X22" s="95">
        <f>'Q - Build Up'!U10</f>
        <v>17664</v>
      </c>
      <c r="Y22" s="94">
        <v>58705</v>
      </c>
      <c r="Z22" s="95">
        <f>'Q - Build Up'!W10</f>
        <v>20028</v>
      </c>
      <c r="AA22" s="104">
        <f>V22*(1+AA23)</f>
        <v>17711.2</v>
      </c>
      <c r="AB22" s="104">
        <f>W22*(1+AB23)</f>
        <v>19704.100000000002</v>
      </c>
      <c r="AC22" s="104">
        <f>X22*(1+AC23)</f>
        <v>22963.200000000001</v>
      </c>
      <c r="AD22" s="97">
        <f>SUM(Z22:AC22)</f>
        <v>80406.5</v>
      </c>
      <c r="AE22" s="104">
        <f t="shared" ref="AB22:AE22" si="15">AD22*(1+AE23)</f>
        <v>120609.75</v>
      </c>
      <c r="AF22" s="104">
        <f t="shared" ref="AF22" si="16">AE22*(1+AF23)</f>
        <v>159204.87</v>
      </c>
      <c r="AG22" s="104">
        <f t="shared" ref="AG22" si="17">AF22*(1+AG23)</f>
        <v>191045.84399999998</v>
      </c>
      <c r="AH22" s="104">
        <f t="shared" ref="AH22" si="18">AG22*(1+AH23)</f>
        <v>219702.72059999997</v>
      </c>
      <c r="AI22" s="104">
        <f t="shared" ref="AI22" si="19">AH22*(1+AI23)</f>
        <v>241672.99265999999</v>
      </c>
      <c r="AJ22" s="735"/>
      <c r="AK22" s="1"/>
      <c r="AL22" s="1"/>
      <c r="AM22" s="1"/>
      <c r="AN22" s="1"/>
      <c r="AO22" s="92"/>
      <c r="AP22" s="2"/>
      <c r="AQ22" s="2"/>
      <c r="AR22" s="2"/>
      <c r="AS22" s="90"/>
      <c r="AT22" s="91"/>
      <c r="AU22" s="92"/>
      <c r="AV22" s="2"/>
      <c r="AW22" s="2"/>
      <c r="AX22" s="2"/>
      <c r="AY22" s="90"/>
      <c r="AZ22" s="91"/>
      <c r="BA22" s="92"/>
    </row>
    <row r="23" spans="1:55" ht="18.75" customHeight="1">
      <c r="A23" s="93" t="s">
        <v>62</v>
      </c>
      <c r="B23" s="84"/>
      <c r="C23" s="84"/>
      <c r="D23" s="94"/>
      <c r="E23" s="86">
        <f>E22/D22-1</f>
        <v>0.47070985527222597</v>
      </c>
      <c r="F23" s="87"/>
      <c r="G23" s="87"/>
      <c r="H23" s="87"/>
      <c r="I23" s="87"/>
      <c r="J23" s="86">
        <f t="shared" ref="J23:Z23" si="20">J22/E22-1</f>
        <v>0.36832239925023424</v>
      </c>
      <c r="K23" s="87">
        <f t="shared" si="20"/>
        <v>0.28053599037965982</v>
      </c>
      <c r="L23" s="87">
        <f t="shared" si="20"/>
        <v>0.2796367112810707</v>
      </c>
      <c r="M23" s="87">
        <f t="shared" si="20"/>
        <v>0.22466511357018049</v>
      </c>
      <c r="N23" s="87">
        <f t="shared" si="20"/>
        <v>0.25659603554340404</v>
      </c>
      <c r="O23" s="86">
        <f t="shared" si="20"/>
        <v>0.25905631659056327</v>
      </c>
      <c r="P23" s="87">
        <f t="shared" si="20"/>
        <v>0.28441105446740012</v>
      </c>
      <c r="Q23" s="87">
        <f t="shared" si="20"/>
        <v>0.28838251774374291</v>
      </c>
      <c r="R23" s="87">
        <f t="shared" si="20"/>
        <v>0.34978004993460954</v>
      </c>
      <c r="S23" s="87">
        <f t="shared" si="20"/>
        <v>0.3005874673629243</v>
      </c>
      <c r="T23" s="86">
        <f t="shared" si="20"/>
        <v>0.30648573500967125</v>
      </c>
      <c r="U23" s="87">
        <f t="shared" si="20"/>
        <v>0.28055149362857734</v>
      </c>
      <c r="V23" s="87">
        <f t="shared" si="20"/>
        <v>0.31671015753358467</v>
      </c>
      <c r="W23" s="87">
        <f t="shared" si="20"/>
        <v>0.33506562142165075</v>
      </c>
      <c r="X23" s="87">
        <f t="shared" si="20"/>
        <v>0.47754077791718941</v>
      </c>
      <c r="Y23" s="86">
        <f t="shared" si="20"/>
        <v>0.35800041638714752</v>
      </c>
      <c r="Z23" s="87">
        <f>Z22/U22-1</f>
        <v>0.63360522022838506</v>
      </c>
      <c r="AA23" s="100">
        <f>Scenarios!D35</f>
        <v>0.3</v>
      </c>
      <c r="AB23" s="100">
        <f>Scenarios!E35</f>
        <v>0.3</v>
      </c>
      <c r="AC23" s="100">
        <f>Scenarios!F35</f>
        <v>0.3</v>
      </c>
      <c r="AD23" s="101"/>
      <c r="AE23" s="102">
        <f>Scenarios!G35</f>
        <v>0.5</v>
      </c>
      <c r="AF23" s="102">
        <f>Scenarios!H35</f>
        <v>0.32</v>
      </c>
      <c r="AG23" s="102">
        <f>Scenarios!I35</f>
        <v>0.2</v>
      </c>
      <c r="AH23" s="102">
        <f>Scenarios!J35</f>
        <v>0.15</v>
      </c>
      <c r="AI23" s="102">
        <f>Scenarios!K35</f>
        <v>0.1</v>
      </c>
      <c r="AJ23" s="89"/>
      <c r="AK23" s="1"/>
      <c r="AL23" s="1"/>
      <c r="AM23" s="1"/>
      <c r="AN23" s="1"/>
      <c r="AO23" s="92"/>
      <c r="AP23" s="2"/>
      <c r="AQ23" s="2"/>
      <c r="AR23" s="2"/>
      <c r="AS23" s="90"/>
      <c r="AT23" s="91"/>
      <c r="AU23" s="92"/>
      <c r="AV23" s="2"/>
      <c r="AW23" s="2"/>
      <c r="AX23" s="2"/>
      <c r="AY23" s="90"/>
      <c r="AZ23" s="91"/>
      <c r="BA23" s="92"/>
    </row>
    <row r="24" spans="1:55" ht="18.75" customHeight="1">
      <c r="A24" s="93"/>
      <c r="B24" s="84"/>
      <c r="C24" s="84"/>
      <c r="D24" s="94"/>
      <c r="E24" s="86"/>
      <c r="F24" s="87"/>
      <c r="G24" s="87"/>
      <c r="H24" s="87"/>
      <c r="I24" s="87"/>
      <c r="J24" s="86"/>
      <c r="K24" s="87"/>
      <c r="L24" s="87"/>
      <c r="M24" s="87"/>
      <c r="N24" s="87"/>
      <c r="O24" s="86"/>
      <c r="P24" s="87"/>
      <c r="Q24" s="87"/>
      <c r="R24" s="87"/>
      <c r="S24" s="87"/>
      <c r="T24" s="86"/>
      <c r="U24" s="87"/>
      <c r="V24" s="87"/>
      <c r="W24" s="87"/>
      <c r="X24" s="87"/>
      <c r="Y24" s="86"/>
      <c r="Z24" s="87"/>
      <c r="AA24" s="111"/>
      <c r="AB24" s="111"/>
      <c r="AC24" s="111"/>
      <c r="AD24" s="111"/>
      <c r="AE24" s="88"/>
      <c r="AF24" s="88"/>
      <c r="AG24" s="88"/>
      <c r="AH24" s="88"/>
      <c r="AI24" s="88"/>
      <c r="AJ24" s="89"/>
      <c r="AK24" s="1"/>
      <c r="AL24" s="1"/>
      <c r="AM24" s="1"/>
      <c r="AN24" s="1"/>
      <c r="AO24" s="92"/>
      <c r="AP24" s="2"/>
      <c r="AQ24" s="2"/>
      <c r="AR24" s="2"/>
      <c r="AS24" s="90"/>
      <c r="AT24" s="91"/>
      <c r="AU24" s="92"/>
      <c r="AV24" s="2"/>
      <c r="AW24" s="2"/>
      <c r="AX24" s="2"/>
      <c r="AY24" s="90"/>
      <c r="AZ24" s="91"/>
      <c r="BA24" s="92"/>
    </row>
    <row r="25" spans="1:55" ht="18.75" customHeight="1">
      <c r="A25" s="93" t="s">
        <v>230</v>
      </c>
      <c r="B25" s="84"/>
      <c r="C25" s="84"/>
      <c r="D25" s="94">
        <v>657</v>
      </c>
      <c r="E25" s="94">
        <v>753</v>
      </c>
      <c r="F25" s="95">
        <f>'Q - Build Up'!C11</f>
        <v>440</v>
      </c>
      <c r="G25" s="95">
        <f>'Q - Build Up'!D11</f>
        <v>193</v>
      </c>
      <c r="H25" s="95">
        <f>'Q - Build Up'!E11</f>
        <v>209</v>
      </c>
      <c r="I25" s="95">
        <f>'Q - Build Up'!F11</f>
        <v>226</v>
      </c>
      <c r="J25" s="94">
        <v>1068</v>
      </c>
      <c r="K25" s="95">
        <f>'Q - Build Up'!H11</f>
        <v>288</v>
      </c>
      <c r="L25" s="95">
        <f>'Q - Build Up'!I11</f>
        <v>285</v>
      </c>
      <c r="M25" s="95">
        <f>'Q - Build Up'!J11</f>
        <v>297</v>
      </c>
      <c r="N25" s="95">
        <f>'Q - Build Up'!K11</f>
        <v>657</v>
      </c>
      <c r="O25" s="94">
        <v>1527</v>
      </c>
      <c r="P25" s="95">
        <f>'Q - Build Up'!M11</f>
        <v>495</v>
      </c>
      <c r="Q25" s="95">
        <f>'Q - Build Up'!N11</f>
        <v>365</v>
      </c>
      <c r="R25" s="95">
        <f>'Q - Build Up'!O11</f>
        <v>388</v>
      </c>
      <c r="S25" s="95">
        <f>'Q - Build Up'!P11</f>
        <v>400</v>
      </c>
      <c r="T25" s="94">
        <v>1648</v>
      </c>
      <c r="U25" s="95">
        <f>'Q - Build Up'!R11</f>
        <v>450</v>
      </c>
      <c r="V25" s="95">
        <f>'Q - Build Up'!S11</f>
        <v>373</v>
      </c>
      <c r="W25" s="95">
        <f>'Q - Build Up'!T11</f>
        <v>344</v>
      </c>
      <c r="X25" s="95">
        <f>'Q - Build Up'!U11</f>
        <v>370</v>
      </c>
      <c r="Y25" s="94">
        <v>1537</v>
      </c>
      <c r="Z25" s="95">
        <f>'Q - Build Up'!W11</f>
        <v>411</v>
      </c>
      <c r="AA25" s="104">
        <f>V25*(1+AA26)</f>
        <v>381.20600000000002</v>
      </c>
      <c r="AB25" s="104">
        <f>W25*(1+AB26)</f>
        <v>351.56799999999998</v>
      </c>
      <c r="AC25" s="104">
        <f>X25*(1+AC26)</f>
        <v>378.14</v>
      </c>
      <c r="AD25" s="97">
        <f>SUM(Z25:AC25)</f>
        <v>1521.9139999999998</v>
      </c>
      <c r="AE25" s="104">
        <f>AD25*(1+AE26)</f>
        <v>1582.7905599999999</v>
      </c>
      <c r="AF25" s="104">
        <f t="shared" ref="AF25:AI25" si="21">AE25*(1+AF26)</f>
        <v>1646.1021823999999</v>
      </c>
      <c r="AG25" s="104">
        <f t="shared" si="21"/>
        <v>1711.9462696959999</v>
      </c>
      <c r="AH25" s="104">
        <f t="shared" si="21"/>
        <v>1780.4241204838399</v>
      </c>
      <c r="AI25" s="104">
        <f t="shared" si="21"/>
        <v>1851.6410853031937</v>
      </c>
      <c r="AJ25" s="1"/>
      <c r="AK25" s="1"/>
      <c r="AL25" s="1"/>
      <c r="AM25" s="1"/>
      <c r="AN25" s="1"/>
      <c r="AO25" s="92"/>
      <c r="AP25" s="2"/>
      <c r="AQ25" s="95"/>
      <c r="AR25" s="95"/>
      <c r="AS25" s="95"/>
      <c r="AT25" s="95"/>
      <c r="AU25" s="95"/>
      <c r="AV25" s="95"/>
      <c r="AW25" s="2"/>
      <c r="AX25" s="2"/>
      <c r="AY25" s="90"/>
      <c r="AZ25" s="91"/>
      <c r="BA25" s="92"/>
    </row>
    <row r="26" spans="1:55" ht="18.75" customHeight="1">
      <c r="A26" s="93"/>
      <c r="B26" s="99" t="s">
        <v>224</v>
      </c>
      <c r="C26" s="84"/>
      <c r="D26" s="94"/>
      <c r="E26" s="86">
        <f>E25/D25-1</f>
        <v>0.14611872146118721</v>
      </c>
      <c r="F26" s="87"/>
      <c r="G26" s="87"/>
      <c r="H26" s="87"/>
      <c r="I26" s="87"/>
      <c r="J26" s="86">
        <f t="shared" ref="J26:Z26" si="22">J25/E25-1</f>
        <v>0.41832669322709171</v>
      </c>
      <c r="K26" s="87">
        <f t="shared" si="22"/>
        <v>-0.34545454545454546</v>
      </c>
      <c r="L26" s="87">
        <f t="shared" si="22"/>
        <v>0.47668393782383411</v>
      </c>
      <c r="M26" s="87">
        <f t="shared" si="22"/>
        <v>0.42105263157894735</v>
      </c>
      <c r="N26" s="87">
        <f t="shared" si="22"/>
        <v>1.9070796460176993</v>
      </c>
      <c r="O26" s="86">
        <f t="shared" si="22"/>
        <v>0.4297752808988764</v>
      </c>
      <c r="P26" s="87">
        <f t="shared" si="22"/>
        <v>0.71875</v>
      </c>
      <c r="Q26" s="87">
        <f t="shared" si="22"/>
        <v>0.2807017543859649</v>
      </c>
      <c r="R26" s="87">
        <f t="shared" si="22"/>
        <v>0.30639730639730645</v>
      </c>
      <c r="S26" s="87">
        <f t="shared" si="22"/>
        <v>-0.39117199391171997</v>
      </c>
      <c r="T26" s="86">
        <f t="shared" si="22"/>
        <v>7.9240340537000575E-2</v>
      </c>
      <c r="U26" s="87">
        <f t="shared" si="22"/>
        <v>-9.0909090909090939E-2</v>
      </c>
      <c r="V26" s="87">
        <f t="shared" si="22"/>
        <v>2.1917808219177992E-2</v>
      </c>
      <c r="W26" s="87">
        <f t="shared" si="22"/>
        <v>-0.11340206185567014</v>
      </c>
      <c r="X26" s="87">
        <f t="shared" si="22"/>
        <v>-7.4999999999999956E-2</v>
      </c>
      <c r="Y26" s="86">
        <f t="shared" si="22"/>
        <v>-6.7354368932038833E-2</v>
      </c>
      <c r="Z26" s="87">
        <f t="shared" si="22"/>
        <v>-8.666666666666667E-2</v>
      </c>
      <c r="AA26" s="594">
        <v>2.1999999999999999E-2</v>
      </c>
      <c r="AB26" s="594">
        <v>2.1999999999999999E-2</v>
      </c>
      <c r="AC26" s="594">
        <v>2.1999999999999999E-2</v>
      </c>
      <c r="AD26" s="101"/>
      <c r="AE26" s="102">
        <v>0.04</v>
      </c>
      <c r="AF26" s="102">
        <v>0.04</v>
      </c>
      <c r="AG26" s="102">
        <v>0.04</v>
      </c>
      <c r="AH26" s="102">
        <v>0.04</v>
      </c>
      <c r="AI26" s="102">
        <v>0.04</v>
      </c>
      <c r="AJ26" s="1"/>
      <c r="AK26" s="1"/>
      <c r="AL26" s="1"/>
      <c r="AM26" s="1"/>
      <c r="AN26" s="1"/>
      <c r="AO26" s="92"/>
      <c r="AP26" s="2"/>
      <c r="AQ26" s="2"/>
      <c r="AR26" s="2"/>
      <c r="AS26" s="90"/>
      <c r="AT26" s="91"/>
      <c r="AU26" s="92"/>
      <c r="AV26" s="2"/>
      <c r="AW26" s="2"/>
      <c r="AX26" s="2"/>
      <c r="AY26" s="90"/>
      <c r="AZ26" s="91"/>
      <c r="BA26" s="92"/>
    </row>
    <row r="27" spans="1:55" ht="18.75" customHeight="1">
      <c r="A27" s="93"/>
      <c r="B27" s="84"/>
      <c r="C27" s="84"/>
      <c r="D27" s="94"/>
      <c r="E27" s="86"/>
      <c r="F27" s="87"/>
      <c r="G27" s="87"/>
      <c r="H27" s="87"/>
      <c r="I27" s="87"/>
      <c r="J27" s="86"/>
      <c r="K27" s="87"/>
      <c r="L27" s="87"/>
      <c r="M27" s="87"/>
      <c r="N27" s="87"/>
      <c r="O27" s="86"/>
      <c r="P27" s="87"/>
      <c r="Q27" s="87"/>
      <c r="R27" s="87"/>
      <c r="S27" s="87"/>
      <c r="T27" s="86"/>
      <c r="U27" s="87"/>
      <c r="V27" s="87"/>
      <c r="W27" s="87"/>
      <c r="X27" s="87"/>
      <c r="Y27" s="86"/>
      <c r="Z27" s="87"/>
      <c r="AA27" s="88"/>
      <c r="AB27" s="88"/>
      <c r="AC27" s="88"/>
      <c r="AD27" s="88"/>
      <c r="AE27" s="88"/>
      <c r="AF27" s="88"/>
      <c r="AG27" s="88"/>
      <c r="AH27" s="88"/>
      <c r="AI27" s="88"/>
      <c r="AJ27" s="75"/>
      <c r="AK27" s="1"/>
      <c r="AL27" s="1"/>
      <c r="AM27" s="1"/>
      <c r="AN27" s="1"/>
      <c r="AO27" s="92"/>
      <c r="AP27" s="2"/>
      <c r="AQ27" s="2"/>
      <c r="AR27" s="2"/>
      <c r="AS27" s="90"/>
      <c r="AT27" s="91"/>
      <c r="AU27" s="92"/>
      <c r="AV27" s="2"/>
      <c r="AW27" s="2"/>
      <c r="AX27" s="2"/>
      <c r="AY27" s="90"/>
      <c r="AZ27" s="91"/>
      <c r="BA27" s="92"/>
    </row>
    <row r="28" spans="1:55" ht="18.75" customHeight="1">
      <c r="A28" s="93" t="s">
        <v>231</v>
      </c>
      <c r="B28" s="84"/>
      <c r="C28" s="84"/>
      <c r="D28" s="94">
        <v>176</v>
      </c>
      <c r="E28" s="94">
        <v>149</v>
      </c>
      <c r="F28" s="95">
        <f>'Q - Build Up'!C12</f>
        <v>278</v>
      </c>
      <c r="G28" s="95">
        <f>'Q - Build Up'!D12</f>
        <v>375</v>
      </c>
      <c r="H28" s="95">
        <f>'Q - Build Up'!E12</f>
        <v>638</v>
      </c>
      <c r="I28" s="95">
        <f>'Q - Build Up'!F12</f>
        <v>669</v>
      </c>
      <c r="J28" s="94">
        <v>1960</v>
      </c>
      <c r="K28" s="95">
        <f>'Q - Build Up'!H12</f>
        <v>84</v>
      </c>
      <c r="L28" s="95">
        <f>'Q - Build Up'!I12</f>
        <v>3</v>
      </c>
      <c r="M28" s="95">
        <f>'Q - Build Up'!J12</f>
        <v>-1</v>
      </c>
      <c r="N28" s="95">
        <f>'Q - Build Up'!K12</f>
        <v>150</v>
      </c>
      <c r="O28" s="94">
        <v>236</v>
      </c>
      <c r="P28" s="95">
        <f>'Q - Build Up'!M12</f>
        <v>72</v>
      </c>
      <c r="Q28" s="95">
        <f>'Q - Build Up'!N12</f>
        <v>102</v>
      </c>
      <c r="R28" s="95">
        <f>'Q - Build Up'!O12</f>
        <v>17</v>
      </c>
      <c r="S28" s="95">
        <f>'Q - Build Up'!P12</f>
        <v>20</v>
      </c>
      <c r="T28" s="94">
        <v>211</v>
      </c>
      <c r="U28" s="95">
        <f>'Q - Build Up'!R12</f>
        <v>260</v>
      </c>
      <c r="V28" s="95">
        <f>'Q - Build Up'!S12</f>
        <v>-112</v>
      </c>
      <c r="W28" s="95">
        <f>'Q - Build Up'!T12</f>
        <v>-207</v>
      </c>
      <c r="X28" s="95">
        <f>'Q - Build Up'!U12</f>
        <v>-68</v>
      </c>
      <c r="Y28" s="94">
        <v>-127</v>
      </c>
      <c r="Z28" s="95">
        <f>'Q - Build Up'!W12</f>
        <v>-180</v>
      </c>
      <c r="AA28" s="104">
        <f>AA29*(AA20+AA22+AA25)</f>
        <v>119.39157299999999</v>
      </c>
      <c r="AB28" s="104">
        <f>AB29*(AB20+AB22+AB25)</f>
        <v>134.698820939</v>
      </c>
      <c r="AC28" s="104">
        <f>AC29*(AC20+AC22+AC25)</f>
        <v>153.25533065678303</v>
      </c>
      <c r="AD28" s="97">
        <f>SUM(Z28:AC28)</f>
        <v>227.34572459578303</v>
      </c>
      <c r="AE28" s="104">
        <f>AE29*(AE20+AE22+AE25)</f>
        <v>632.2922999163452</v>
      </c>
      <c r="AF28" s="104">
        <f t="shared" ref="AF28:AI28" si="23">AF29*(AF20+AF22+AF25)</f>
        <v>749.03800312973055</v>
      </c>
      <c r="AG28" s="104">
        <f t="shared" si="23"/>
        <v>860.06416857891497</v>
      </c>
      <c r="AH28" s="104">
        <f t="shared" si="23"/>
        <v>968.06356513042965</v>
      </c>
      <c r="AI28" s="104">
        <f t="shared" si="23"/>
        <v>1066.8410450214681</v>
      </c>
      <c r="AJ28" s="75"/>
      <c r="AK28" s="112"/>
      <c r="AL28" s="112"/>
      <c r="AM28" s="112"/>
      <c r="AN28" s="112"/>
      <c r="AO28" s="92"/>
      <c r="AP28" s="2"/>
      <c r="AQ28" s="2"/>
      <c r="AR28" s="2"/>
      <c r="AS28" s="90"/>
      <c r="AT28" s="91"/>
      <c r="AU28" s="92"/>
      <c r="AV28" s="2"/>
      <c r="AW28" s="2"/>
      <c r="AX28" s="2"/>
      <c r="AY28" s="90"/>
      <c r="AZ28" s="91"/>
      <c r="BA28" s="92"/>
    </row>
    <row r="29" spans="1:55" ht="18.75" customHeight="1">
      <c r="A29" s="93"/>
      <c r="B29" s="99" t="s">
        <v>211</v>
      </c>
      <c r="C29" s="84"/>
      <c r="D29" s="113">
        <f t="shared" ref="D29:Z29" si="24">D28/D6</f>
        <v>9.6424090682474377E-4</v>
      </c>
      <c r="E29" s="113">
        <f t="shared" si="24"/>
        <v>5.783330810403785E-4</v>
      </c>
      <c r="F29" s="114">
        <f t="shared" si="24"/>
        <v>4.0875740689006188E-3</v>
      </c>
      <c r="G29" s="114">
        <f t="shared" si="24"/>
        <v>5.3813589725191938E-3</v>
      </c>
      <c r="H29" s="114">
        <f t="shared" si="24"/>
        <v>9.2340647252938113E-3</v>
      </c>
      <c r="I29" s="114">
        <f t="shared" si="24"/>
        <v>8.7970755312434257E-3</v>
      </c>
      <c r="J29" s="113">
        <f t="shared" si="24"/>
        <v>6.9298109151593153E-3</v>
      </c>
      <c r="K29" s="114">
        <f t="shared" si="24"/>
        <v>1.2036625732586299E-3</v>
      </c>
      <c r="L29" s="114">
        <f t="shared" si="24"/>
        <v>4.0212321055171307E-5</v>
      </c>
      <c r="M29" s="114">
        <f t="shared" si="24"/>
        <v>-1.303899964794701E-5</v>
      </c>
      <c r="N29" s="114">
        <f t="shared" si="24"/>
        <v>1.7379214459506431E-3</v>
      </c>
      <c r="O29" s="113">
        <f t="shared" si="24"/>
        <v>7.6774432812611829E-4</v>
      </c>
      <c r="P29" s="114">
        <f t="shared" si="24"/>
        <v>8.9397683110046069E-4</v>
      </c>
      <c r="Q29" s="114">
        <f t="shared" si="24"/>
        <v>1.2036534422128343E-3</v>
      </c>
      <c r="R29" s="114">
        <f t="shared" si="24"/>
        <v>1.9259527801694838E-4</v>
      </c>
      <c r="S29" s="114">
        <f t="shared" si="24"/>
        <v>2.0732048637386104E-4</v>
      </c>
      <c r="T29" s="113">
        <f t="shared" si="24"/>
        <v>6.0282614036992379E-4</v>
      </c>
      <c r="U29" s="114">
        <f t="shared" si="24"/>
        <v>2.8813972560232286E-3</v>
      </c>
      <c r="V29" s="114">
        <f t="shared" si="24"/>
        <v>-1.1614883643754927E-3</v>
      </c>
      <c r="W29" s="114">
        <f t="shared" si="24"/>
        <v>-2.0225509546049673E-3</v>
      </c>
      <c r="X29" s="114">
        <f t="shared" si="24"/>
        <v>-5.973925571915522E-4</v>
      </c>
      <c r="Y29" s="115">
        <f t="shared" si="24"/>
        <v>-3.1526477276112364E-4</v>
      </c>
      <c r="Z29" s="116">
        <f t="shared" si="24"/>
        <v>-1.6379122079056563E-3</v>
      </c>
      <c r="AA29" s="100">
        <v>1E-3</v>
      </c>
      <c r="AB29" s="100">
        <v>1E-3</v>
      </c>
      <c r="AC29" s="100">
        <v>1E-3</v>
      </c>
      <c r="AD29" s="101"/>
      <c r="AE29" s="102">
        <v>1E-3</v>
      </c>
      <c r="AF29" s="102">
        <f>AE29</f>
        <v>1E-3</v>
      </c>
      <c r="AG29" s="102">
        <f t="shared" ref="AG29:AI29" si="25">AF29</f>
        <v>1E-3</v>
      </c>
      <c r="AH29" s="102">
        <f t="shared" si="25"/>
        <v>1E-3</v>
      </c>
      <c r="AI29" s="102">
        <f t="shared" si="25"/>
        <v>1E-3</v>
      </c>
      <c r="AJ29" s="75"/>
      <c r="AK29" s="1"/>
      <c r="AL29" s="1"/>
      <c r="AM29" s="1"/>
      <c r="AN29" s="1"/>
      <c r="AO29" s="92"/>
      <c r="AP29" s="2"/>
      <c r="AQ29" s="2"/>
      <c r="AR29" s="2"/>
      <c r="AS29" s="90"/>
      <c r="AT29" s="91"/>
      <c r="AU29" s="92"/>
      <c r="AV29" s="2"/>
      <c r="AW29" s="2"/>
      <c r="AX29" s="2"/>
      <c r="AY29" s="90"/>
      <c r="AZ29" s="91"/>
      <c r="BA29" s="92"/>
    </row>
    <row r="30" spans="1:55" ht="18.75" customHeight="1">
      <c r="A30" s="93"/>
      <c r="B30" s="99"/>
      <c r="C30" s="84"/>
      <c r="D30" s="117"/>
      <c r="E30" s="117"/>
      <c r="F30" s="118"/>
      <c r="G30" s="118"/>
      <c r="H30" s="118"/>
      <c r="I30" s="118"/>
      <c r="J30" s="117"/>
      <c r="K30" s="118"/>
      <c r="L30" s="118"/>
      <c r="M30" s="118"/>
      <c r="N30" s="118"/>
      <c r="O30" s="117"/>
      <c r="P30" s="118"/>
      <c r="Q30" s="118"/>
      <c r="R30" s="118"/>
      <c r="S30" s="118"/>
      <c r="T30" s="117"/>
      <c r="U30" s="118"/>
      <c r="V30" s="118"/>
      <c r="W30" s="118"/>
      <c r="X30" s="118"/>
      <c r="Y30" s="117"/>
      <c r="Z30" s="118"/>
      <c r="AA30" s="105"/>
      <c r="AB30" s="105"/>
      <c r="AC30" s="105"/>
      <c r="AD30" s="101"/>
      <c r="AE30" s="101"/>
      <c r="AF30" s="101"/>
      <c r="AG30" s="101"/>
      <c r="AH30" s="101"/>
      <c r="AI30" s="101"/>
      <c r="AJ30" s="75"/>
      <c r="AK30" s="1"/>
      <c r="AL30" s="1"/>
      <c r="AM30" s="1"/>
      <c r="AN30" s="1"/>
      <c r="AO30" s="92"/>
      <c r="AP30" s="2"/>
      <c r="AQ30" s="2"/>
      <c r="AR30" s="2"/>
      <c r="AS30" s="90"/>
      <c r="AT30" s="91"/>
      <c r="AU30" s="92"/>
      <c r="AV30" s="2"/>
      <c r="AW30" s="2"/>
      <c r="AX30" s="2"/>
      <c r="AY30" s="90"/>
      <c r="AZ30" s="91"/>
      <c r="BA30" s="92"/>
    </row>
    <row r="31" spans="1:55" ht="18.75" customHeight="1">
      <c r="A31" s="79" t="s">
        <v>232</v>
      </c>
      <c r="B31" s="80"/>
      <c r="C31" s="80"/>
      <c r="D31" s="119"/>
      <c r="E31" s="119"/>
      <c r="F31" s="120"/>
      <c r="G31" s="120"/>
      <c r="H31" s="120"/>
      <c r="I31" s="120"/>
      <c r="J31" s="119"/>
      <c r="K31" s="120"/>
      <c r="L31" s="120"/>
      <c r="M31" s="120"/>
      <c r="N31" s="120"/>
      <c r="O31" s="121"/>
      <c r="P31" s="122"/>
      <c r="Q31" s="122"/>
      <c r="R31" s="122"/>
      <c r="S31" s="122"/>
      <c r="T31" s="121"/>
      <c r="U31" s="122"/>
      <c r="V31" s="122"/>
      <c r="W31" s="122"/>
      <c r="X31" s="122"/>
      <c r="Y31" s="121"/>
      <c r="Z31" s="122"/>
      <c r="AA31" s="123"/>
      <c r="AB31" s="123"/>
      <c r="AC31" s="123"/>
      <c r="AD31" s="123"/>
      <c r="AE31" s="123"/>
      <c r="AF31" s="123"/>
      <c r="AG31" s="123"/>
      <c r="AH31" s="123"/>
      <c r="AI31" s="123"/>
      <c r="AJ31" s="75"/>
      <c r="AK31" s="1"/>
      <c r="AL31" s="124"/>
      <c r="AM31" s="1"/>
      <c r="AN31" s="1"/>
      <c r="AO31" s="1"/>
      <c r="AP31" s="1"/>
      <c r="AQ31" s="1"/>
      <c r="AR31" s="1"/>
      <c r="AS31" s="1"/>
      <c r="AT31" s="1"/>
      <c r="AU31" s="1"/>
      <c r="AV31" s="1"/>
      <c r="AW31" s="1"/>
      <c r="AX31" s="1"/>
      <c r="AY31" s="1"/>
      <c r="AZ31" s="1"/>
      <c r="BA31" s="1"/>
      <c r="BB31" s="1"/>
      <c r="BC31" s="1"/>
    </row>
    <row r="32" spans="1:55" ht="18.75" customHeight="1">
      <c r="A32" s="93" t="s">
        <v>232</v>
      </c>
      <c r="B32" s="84"/>
      <c r="C32" s="84"/>
      <c r="D32" s="125">
        <f t="shared" ref="D32:Z32" si="26">SUM(D35,D38,D41,D45)</f>
        <v>41224</v>
      </c>
      <c r="E32" s="125">
        <f t="shared" si="26"/>
        <v>78714</v>
      </c>
      <c r="F32" s="126">
        <f t="shared" si="26"/>
        <v>20094</v>
      </c>
      <c r="G32" s="126">
        <f t="shared" si="26"/>
        <v>19453</v>
      </c>
      <c r="H32" s="126">
        <f t="shared" si="26"/>
        <v>17135</v>
      </c>
      <c r="I32" s="126">
        <f t="shared" si="26"/>
        <v>18160</v>
      </c>
      <c r="J32" s="125">
        <f t="shared" si="26"/>
        <v>74842</v>
      </c>
      <c r="K32" s="126">
        <f t="shared" si="26"/>
        <v>17415</v>
      </c>
      <c r="L32" s="126">
        <f t="shared" si="26"/>
        <v>21838</v>
      </c>
      <c r="M32" s="126">
        <f t="shared" si="26"/>
        <v>21343</v>
      </c>
      <c r="N32" s="126">
        <f t="shared" si="26"/>
        <v>23697</v>
      </c>
      <c r="O32" s="125">
        <f t="shared" si="26"/>
        <v>84293</v>
      </c>
      <c r="P32" s="126">
        <f t="shared" si="26"/>
        <v>25472</v>
      </c>
      <c r="Q32" s="126">
        <f t="shared" si="26"/>
        <v>27425</v>
      </c>
      <c r="R32" s="126">
        <f t="shared" si="26"/>
        <v>28521</v>
      </c>
      <c r="S32" s="126">
        <f t="shared" si="26"/>
        <v>30972</v>
      </c>
      <c r="T32" s="125">
        <f t="shared" si="26"/>
        <v>112390</v>
      </c>
      <c r="U32" s="126">
        <f t="shared" si="26"/>
        <v>30606</v>
      </c>
      <c r="V32" s="126">
        <f t="shared" si="26"/>
        <v>31271</v>
      </c>
      <c r="W32" s="126">
        <f t="shared" si="26"/>
        <v>31228</v>
      </c>
      <c r="X32" s="126">
        <f t="shared" si="26"/>
        <v>35934</v>
      </c>
      <c r="Y32" s="125">
        <f t="shared" si="26"/>
        <v>129039</v>
      </c>
      <c r="Z32" s="126">
        <f>SUM(Z35,Z38,Z41,Z45)</f>
        <v>39696</v>
      </c>
      <c r="AA32" s="642">
        <f>SUM(AA35,AA38,AA41,AA45)</f>
        <v>45817.322212809988</v>
      </c>
      <c r="AB32" s="642">
        <f>SUM(AB35,AB38,AB41,AB45)</f>
        <v>51557.065229751832</v>
      </c>
      <c r="AC32" s="642">
        <f>SUM(AC35,AC38,AC41,AC45)</f>
        <v>58702.525215929149</v>
      </c>
      <c r="AD32" s="97">
        <f>SUM(Z32:AC32)</f>
        <v>195772.91265849097</v>
      </c>
      <c r="AE32" s="642">
        <f>SUM(AE35,AE38,AE41,AE45)</f>
        <v>240561.42442386752</v>
      </c>
      <c r="AF32" s="642">
        <f>SUM(AF35,AF38,AF41,AF45)</f>
        <v>291847.52779778629</v>
      </c>
      <c r="AG32" s="642">
        <f>SUM(AG35,AG38,AG41,AG45)</f>
        <v>343614.6028952921</v>
      </c>
      <c r="AH32" s="642">
        <f>SUM(AH35,AH38,AH41,AH45)</f>
        <v>389037.75199399464</v>
      </c>
      <c r="AI32" s="642">
        <f>SUM(AI35,AI38,AI41,AI45)</f>
        <v>431485.96533518529</v>
      </c>
      <c r="AJ32" s="1"/>
      <c r="AK32" s="1"/>
      <c r="AL32" s="1"/>
      <c r="AM32" s="1"/>
      <c r="AN32" s="1"/>
      <c r="AO32" s="1"/>
      <c r="AP32" s="1"/>
      <c r="AQ32" s="1"/>
      <c r="AR32" s="1"/>
      <c r="AS32" s="1"/>
      <c r="AT32" s="1"/>
      <c r="AU32" s="1"/>
      <c r="AV32" s="1"/>
      <c r="AW32" s="1"/>
      <c r="AX32" s="1"/>
      <c r="AY32" s="1"/>
      <c r="AZ32" s="1"/>
      <c r="BA32" s="1"/>
      <c r="BB32" s="1"/>
      <c r="BC32" s="1"/>
    </row>
    <row r="33" spans="1:55" ht="18.75" customHeight="1">
      <c r="A33" s="93"/>
      <c r="B33" s="129" t="s">
        <v>233</v>
      </c>
      <c r="C33" s="84"/>
      <c r="D33" s="86">
        <f t="shared" ref="D33:Z33" si="27">D32/D6</f>
        <v>0.22585151785763202</v>
      </c>
      <c r="E33" s="86">
        <f t="shared" si="27"/>
        <v>0.3055228868524319</v>
      </c>
      <c r="F33" s="87">
        <f t="shared" si="27"/>
        <v>0.29545220626075192</v>
      </c>
      <c r="G33" s="87">
        <f t="shared" si="27"/>
        <v>0.279156202913109</v>
      </c>
      <c r="H33" s="87">
        <f t="shared" si="27"/>
        <v>0.24800266311584554</v>
      </c>
      <c r="I33" s="87">
        <f t="shared" si="27"/>
        <v>0.23879654954765411</v>
      </c>
      <c r="J33" s="86">
        <f t="shared" si="27"/>
        <v>0.26461270842467011</v>
      </c>
      <c r="K33" s="87">
        <f t="shared" si="27"/>
        <v>0.24954504420594092</v>
      </c>
      <c r="L33" s="87">
        <f t="shared" si="27"/>
        <v>0.29271888906761029</v>
      </c>
      <c r="M33" s="87">
        <f t="shared" si="27"/>
        <v>0.27829136948613303</v>
      </c>
      <c r="N33" s="87">
        <f t="shared" si="27"/>
        <v>0.27455683003128256</v>
      </c>
      <c r="O33" s="86">
        <f t="shared" si="27"/>
        <v>0.27421810445226646</v>
      </c>
      <c r="P33" s="87">
        <f t="shared" si="27"/>
        <v>0.31626913669154072</v>
      </c>
      <c r="Q33" s="87">
        <f t="shared" si="27"/>
        <v>0.32362936914398999</v>
      </c>
      <c r="R33" s="87">
        <f t="shared" si="27"/>
        <v>0.32311823084243441</v>
      </c>
      <c r="S33" s="87">
        <f t="shared" si="27"/>
        <v>0.32105650519856122</v>
      </c>
      <c r="T33" s="86">
        <f t="shared" si="27"/>
        <v>0.32109777211457696</v>
      </c>
      <c r="U33" s="87">
        <f t="shared" si="27"/>
        <v>0.33918478622248821</v>
      </c>
      <c r="V33" s="87">
        <f t="shared" si="27"/>
        <v>0.32429377359273243</v>
      </c>
      <c r="W33" s="87">
        <f t="shared" si="27"/>
        <v>0.30512184159615424</v>
      </c>
      <c r="X33" s="87">
        <f t="shared" si="27"/>
        <v>0.31568682573707701</v>
      </c>
      <c r="Y33" s="86">
        <f t="shared" si="27"/>
        <v>0.32032638592380025</v>
      </c>
      <c r="Z33" s="87">
        <f t="shared" si="27"/>
        <v>0.36121423891679405</v>
      </c>
      <c r="AA33" s="130"/>
      <c r="AB33" s="130"/>
      <c r="AC33" s="130"/>
      <c r="AD33" s="131"/>
      <c r="AE33" s="131"/>
      <c r="AF33" s="131"/>
      <c r="AG33" s="131"/>
      <c r="AH33" s="131"/>
      <c r="AI33" s="131"/>
      <c r="AJ33" s="1"/>
      <c r="AK33" s="1"/>
      <c r="AL33" s="1"/>
      <c r="AM33" s="1"/>
      <c r="AN33" s="1"/>
      <c r="AO33" s="1"/>
      <c r="AP33" s="1"/>
      <c r="AQ33" s="1"/>
      <c r="AR33" s="1"/>
      <c r="AS33" s="1"/>
      <c r="AT33" s="1"/>
      <c r="AU33" s="1"/>
      <c r="AV33" s="1"/>
      <c r="AW33" s="1"/>
      <c r="AX33" s="1"/>
      <c r="AY33" s="1"/>
      <c r="AZ33" s="1"/>
      <c r="BA33" s="1"/>
      <c r="BB33" s="1"/>
      <c r="BC33" s="1"/>
    </row>
    <row r="34" spans="1:55" ht="18.75" customHeight="1">
      <c r="A34" s="93"/>
      <c r="B34" s="129"/>
      <c r="C34" s="84"/>
      <c r="D34" s="85"/>
      <c r="E34" s="85"/>
      <c r="F34" s="132"/>
      <c r="G34" s="132"/>
      <c r="H34" s="132"/>
      <c r="I34" s="132"/>
      <c r="J34" s="85"/>
      <c r="K34" s="132"/>
      <c r="L34" s="132"/>
      <c r="M34" s="132"/>
      <c r="N34" s="132"/>
      <c r="O34" s="85"/>
      <c r="P34" s="132"/>
      <c r="Q34" s="132"/>
      <c r="R34" s="132"/>
      <c r="S34" s="132"/>
      <c r="T34" s="85"/>
      <c r="U34" s="132"/>
      <c r="V34" s="132"/>
      <c r="W34" s="132"/>
      <c r="X34" s="132"/>
      <c r="Y34" s="85"/>
      <c r="Z34" s="132"/>
      <c r="AA34" s="88"/>
      <c r="AB34" s="88"/>
      <c r="AC34" s="88"/>
      <c r="AD34" s="88"/>
      <c r="AE34" s="88"/>
      <c r="AF34" s="88"/>
      <c r="AG34" s="88"/>
      <c r="AH34" s="88"/>
      <c r="AI34" s="88"/>
      <c r="AJ34" s="1"/>
      <c r="AK34" s="1"/>
      <c r="AL34" s="1"/>
      <c r="AM34" s="1"/>
      <c r="AN34" s="1"/>
      <c r="AO34" s="1"/>
      <c r="AP34" s="1"/>
      <c r="AQ34" s="1"/>
      <c r="AR34" s="1"/>
      <c r="AS34" s="1"/>
      <c r="AT34" s="1"/>
      <c r="AU34" s="1"/>
      <c r="AV34" s="1"/>
      <c r="AW34" s="1"/>
      <c r="AX34" s="1"/>
      <c r="AY34" s="1"/>
      <c r="AZ34" s="1"/>
      <c r="BA34" s="1"/>
      <c r="BB34" s="1"/>
      <c r="BC34" s="1"/>
    </row>
    <row r="35" spans="1:55" s="1" customFormat="1" ht="18.75" customHeight="1">
      <c r="A35" s="83"/>
      <c r="B35" s="133" t="s">
        <v>228</v>
      </c>
      <c r="C35" s="84"/>
      <c r="D35" s="134">
        <v>54606</v>
      </c>
      <c r="E35" s="134">
        <v>91855</v>
      </c>
      <c r="F35" s="135">
        <f>'Q - Build Up'!C16</f>
        <v>21973</v>
      </c>
      <c r="G35" s="135">
        <f>'Q - Build Up'!D16</f>
        <v>21621</v>
      </c>
      <c r="H35" s="135">
        <f>'Q - Build Up'!E16</f>
        <v>18883</v>
      </c>
      <c r="I35" s="135">
        <f>'Q - Build Up'!F16</f>
        <v>20222</v>
      </c>
      <c r="J35" s="94">
        <v>82699</v>
      </c>
      <c r="K35" s="95">
        <f>'Q - Build Up'!H16</f>
        <v>21737</v>
      </c>
      <c r="L35" s="95">
        <f>'Q - Build Up'!I16</f>
        <v>23454</v>
      </c>
      <c r="M35" s="95">
        <f>'Q - Build Up'!J16</f>
        <v>23937</v>
      </c>
      <c r="N35" s="95">
        <f>'Q - Build Up'!K16</f>
        <v>26730</v>
      </c>
      <c r="O35" s="94">
        <v>95858</v>
      </c>
      <c r="P35" s="95">
        <f>'Q - Build Up'!M16</f>
        <v>27897</v>
      </c>
      <c r="Q35" s="95">
        <f>'Q - Build Up'!N16</f>
        <v>29674</v>
      </c>
      <c r="R35" s="95">
        <f>'Q - Build Up'!O16</f>
        <v>30856</v>
      </c>
      <c r="S35" s="95">
        <f>'Q - Build Up'!P16</f>
        <v>32836</v>
      </c>
      <c r="T35" s="94">
        <v>121263</v>
      </c>
      <c r="U35" s="95">
        <f>'Q - Build Up'!R16</f>
        <v>32682</v>
      </c>
      <c r="V35" s="95">
        <f>'Q - Build Up'!S16</f>
        <v>33063</v>
      </c>
      <c r="W35" s="95">
        <f>'Q - Build Up'!T16</f>
        <v>33527</v>
      </c>
      <c r="X35" s="95">
        <f>'Q - Build Up'!U16</f>
        <v>40132</v>
      </c>
      <c r="Y35" s="94">
        <v>139404</v>
      </c>
      <c r="Z35" s="95">
        <f>'Q - Build Up'!W16</f>
        <v>40589</v>
      </c>
      <c r="AA35" s="127">
        <f>AA36*AA20</f>
        <v>45584.625149999993</v>
      </c>
      <c r="AB35" s="127">
        <f t="shared" ref="AB35:AE35" si="28">AB36*AB20</f>
        <v>51589.418822549997</v>
      </c>
      <c r="AC35" s="127">
        <f t="shared" si="28"/>
        <v>58461.295795552345</v>
      </c>
      <c r="AD35" s="97">
        <f>SUM(Z35:AC35)</f>
        <v>196224.33976810233</v>
      </c>
      <c r="AE35" s="127">
        <f t="shared" si="28"/>
        <v>229544.89171035532</v>
      </c>
      <c r="AF35" s="127">
        <f t="shared" ref="AF35" si="29">AF36*AF20</f>
        <v>270566.03423577209</v>
      </c>
      <c r="AG35" s="127">
        <f t="shared" ref="AG35" si="30">AG36*AG20</f>
        <v>313633.99780533288</v>
      </c>
      <c r="AH35" s="127">
        <f t="shared" ref="AH35" si="31">AH36*AH20</f>
        <v>350892.7975926745</v>
      </c>
      <c r="AI35" s="127">
        <f t="shared" ref="AI35" si="32">AI36*AI20</f>
        <v>386958.7132997975</v>
      </c>
    </row>
    <row r="36" spans="1:55" s="1" customFormat="1" ht="18.75" customHeight="1">
      <c r="A36" s="83"/>
      <c r="B36" s="133"/>
      <c r="C36" s="136" t="s">
        <v>233</v>
      </c>
      <c r="D36" s="86">
        <f t="shared" ref="D36:Z36" si="33">D35/D20</f>
        <v>0.32381178284460521</v>
      </c>
      <c r="E36" s="86">
        <f t="shared" si="33"/>
        <v>0.38671067532806519</v>
      </c>
      <c r="F36" s="87">
        <f t="shared" si="33"/>
        <v>0.35744729307652262</v>
      </c>
      <c r="G36" s="87">
        <f t="shared" si="33"/>
        <v>0.34405881510478825</v>
      </c>
      <c r="H36" s="87">
        <f t="shared" si="33"/>
        <v>0.30765596233116638</v>
      </c>
      <c r="I36" s="87">
        <f t="shared" si="33"/>
        <v>0.29809251451988561</v>
      </c>
      <c r="J36" s="86">
        <f t="shared" si="33"/>
        <v>0.32619276766274335</v>
      </c>
      <c r="K36" s="87">
        <f t="shared" si="33"/>
        <v>0.35081744968609285</v>
      </c>
      <c r="L36" s="87">
        <f t="shared" si="33"/>
        <v>0.35383570943652409</v>
      </c>
      <c r="M36" s="87">
        <f t="shared" si="33"/>
        <v>0.35208719442238107</v>
      </c>
      <c r="N36" s="87">
        <f t="shared" si="33"/>
        <v>0.35027715532492038</v>
      </c>
      <c r="O36" s="86">
        <f t="shared" si="33"/>
        <v>0.35171697677063801</v>
      </c>
      <c r="P36" s="87">
        <f t="shared" si="33"/>
        <v>0.39627546237109007</v>
      </c>
      <c r="Q36" s="87">
        <f t="shared" si="33"/>
        <v>0.40139054214911807</v>
      </c>
      <c r="R36" s="87">
        <f t="shared" si="33"/>
        <v>0.40329368709972552</v>
      </c>
      <c r="S36" s="87">
        <f t="shared" si="33"/>
        <v>0.39046780983185481</v>
      </c>
      <c r="T36" s="86">
        <f t="shared" si="33"/>
        <v>0.39767487620109532</v>
      </c>
      <c r="U36" s="87">
        <f t="shared" si="33"/>
        <v>0.4229913025471112</v>
      </c>
      <c r="V36" s="87">
        <f t="shared" si="33"/>
        <v>0.40055486231418774</v>
      </c>
      <c r="W36" s="87">
        <f t="shared" si="33"/>
        <v>0.38513761889445391</v>
      </c>
      <c r="X36" s="87">
        <f t="shared" si="33"/>
        <v>0.41864346664997598</v>
      </c>
      <c r="Y36" s="86">
        <f t="shared" si="33"/>
        <v>0.40675651623332099</v>
      </c>
      <c r="Z36" s="87">
        <f t="shared" si="33"/>
        <v>0.4528152437051664</v>
      </c>
      <c r="AA36" s="100">
        <f>Scenarios!D51</f>
        <v>0.45</v>
      </c>
      <c r="AB36" s="100">
        <f>Scenarios!E51</f>
        <v>0.45</v>
      </c>
      <c r="AC36" s="100">
        <f>Scenarios!F51</f>
        <v>0.45</v>
      </c>
      <c r="AD36" s="137"/>
      <c r="AE36" s="102">
        <f>Scenarios!G51</f>
        <v>0.45</v>
      </c>
      <c r="AF36" s="102">
        <f>Scenarios!H51</f>
        <v>0.46</v>
      </c>
      <c r="AG36" s="102">
        <f>Scenarios!I51</f>
        <v>0.47</v>
      </c>
      <c r="AH36" s="102">
        <f>Scenarios!J51</f>
        <v>0.47</v>
      </c>
      <c r="AI36" s="102">
        <f>Scenarios!K51</f>
        <v>0.47</v>
      </c>
    </row>
    <row r="37" spans="1:55" s="1" customFormat="1" ht="18.75" customHeight="1">
      <c r="A37" s="83"/>
      <c r="B37" s="133"/>
      <c r="C37" s="136"/>
      <c r="D37" s="86"/>
      <c r="E37" s="86"/>
      <c r="F37" s="87"/>
      <c r="G37" s="87"/>
      <c r="H37" s="87"/>
      <c r="I37" s="87"/>
      <c r="J37" s="86"/>
      <c r="K37" s="87"/>
      <c r="L37" s="87"/>
      <c r="M37" s="87"/>
      <c r="N37" s="87"/>
      <c r="O37" s="86"/>
      <c r="P37" s="87"/>
      <c r="Q37" s="87"/>
      <c r="R37" s="87"/>
      <c r="S37" s="87"/>
      <c r="T37" s="86"/>
      <c r="U37" s="87"/>
      <c r="V37" s="87"/>
      <c r="W37" s="87"/>
      <c r="X37" s="87"/>
      <c r="Y37" s="86"/>
      <c r="Z37" s="87"/>
      <c r="AA37" s="105"/>
      <c r="AB37" s="105"/>
      <c r="AC37" s="105"/>
      <c r="AD37" s="101"/>
      <c r="AE37" s="101"/>
      <c r="AF37" s="101"/>
      <c r="AG37" s="101"/>
      <c r="AH37" s="101"/>
      <c r="AI37" s="101"/>
    </row>
    <row r="38" spans="1:55" s="1" customFormat="1" ht="18.75" customHeight="1">
      <c r="A38" s="83"/>
      <c r="B38" s="133" t="s">
        <v>234</v>
      </c>
      <c r="C38" s="84"/>
      <c r="D38" s="94">
        <v>-5607</v>
      </c>
      <c r="E38" s="94">
        <v>-3099</v>
      </c>
      <c r="F38" s="95">
        <f>'Q - Build Up'!C18</f>
        <v>-706</v>
      </c>
      <c r="G38" s="95">
        <f>'Q - Build Up'!D18</f>
        <v>-590</v>
      </c>
      <c r="H38" s="95">
        <f>'Q - Build Up'!E18</f>
        <v>-440</v>
      </c>
      <c r="I38" s="95">
        <f>'Q - Build Up'!F18</f>
        <v>-186</v>
      </c>
      <c r="J38" s="94">
        <v>-1922</v>
      </c>
      <c r="K38" s="95">
        <f>'Q - Build Up'!H18</f>
        <v>191</v>
      </c>
      <c r="L38" s="95">
        <f>'Q - Build Up'!I18</f>
        <v>395</v>
      </c>
      <c r="M38" s="95">
        <f>'Q - Build Up'!J18</f>
        <v>266</v>
      </c>
      <c r="N38" s="95">
        <f>'Q - Build Up'!K18</f>
        <v>864</v>
      </c>
      <c r="O38" s="94">
        <v>1716</v>
      </c>
      <c r="P38" s="95">
        <f>'Q - Build Up'!M18</f>
        <v>900</v>
      </c>
      <c r="Q38" s="95">
        <f>'Q - Build Up'!N18</f>
        <v>1172</v>
      </c>
      <c r="R38" s="95">
        <f>'Q - Build Up'!O18</f>
        <v>1947</v>
      </c>
      <c r="S38" s="95">
        <f>'Q - Build Up'!P18</f>
        <v>2093</v>
      </c>
      <c r="T38" s="94">
        <v>6112</v>
      </c>
      <c r="U38" s="95">
        <f>'Q - Build Up'!R18</f>
        <v>2177</v>
      </c>
      <c r="V38" s="95">
        <f>'Q - Build Up'!S18</f>
        <v>2826</v>
      </c>
      <c r="W38" s="95">
        <f>'Q - Build Up'!T18</f>
        <v>3594</v>
      </c>
      <c r="X38" s="95">
        <f>'Q - Build Up'!U18</f>
        <v>5313</v>
      </c>
      <c r="Y38" s="94">
        <v>13910</v>
      </c>
      <c r="Z38" s="95">
        <f>'Q - Build Up'!W18</f>
        <v>6598</v>
      </c>
      <c r="AA38" s="127">
        <f>AA39*AA22</f>
        <v>6198.92</v>
      </c>
      <c r="AB38" s="127">
        <f>AB39*AB22</f>
        <v>6699.3940000000011</v>
      </c>
      <c r="AC38" s="127">
        <f>AC39*AC22</f>
        <v>7807.4880000000012</v>
      </c>
      <c r="AD38" s="97">
        <f>SUM(Z38:AC38)</f>
        <v>27303.802000000003</v>
      </c>
      <c r="AE38" s="637">
        <f>AE39*AE22</f>
        <v>41007.315000000002</v>
      </c>
      <c r="AF38" s="637">
        <f>AF39*AF22</f>
        <v>55721.704499999993</v>
      </c>
      <c r="AG38" s="637">
        <f>AG39*AG22</f>
        <v>68776.50383999999</v>
      </c>
      <c r="AH38" s="637">
        <f>AH39*AH22</f>
        <v>81290.006621999986</v>
      </c>
      <c r="AI38" s="637">
        <f>AI39*AI22</f>
        <v>91835.737210799998</v>
      </c>
    </row>
    <row r="39" spans="1:55" s="1" customFormat="1" ht="18.75" customHeight="1">
      <c r="A39" s="83"/>
      <c r="B39" s="133"/>
      <c r="C39" s="136" t="s">
        <v>233</v>
      </c>
      <c r="D39" s="86">
        <f t="shared" ref="D39:Z39" si="34">D38/D22</f>
        <v>-0.42935906271536872</v>
      </c>
      <c r="E39" s="86">
        <f t="shared" si="34"/>
        <v>-0.16135582630427991</v>
      </c>
      <c r="F39" s="87">
        <f t="shared" si="34"/>
        <v>-0.12128500257687683</v>
      </c>
      <c r="G39" s="87">
        <f t="shared" si="34"/>
        <v>-9.4008922880815804E-2</v>
      </c>
      <c r="H39" s="87">
        <f t="shared" si="34"/>
        <v>-6.4065230052417002E-2</v>
      </c>
      <c r="I39" s="87">
        <f t="shared" si="34"/>
        <v>-2.5427204374572795E-2</v>
      </c>
      <c r="J39" s="86">
        <f t="shared" si="34"/>
        <v>-7.3135464231354641E-2</v>
      </c>
      <c r="K39" s="87">
        <f t="shared" si="34"/>
        <v>2.5623826133619534E-2</v>
      </c>
      <c r="L39" s="87">
        <f t="shared" si="34"/>
        <v>4.9184410409662559E-2</v>
      </c>
      <c r="M39" s="87">
        <f t="shared" si="34"/>
        <v>3.1625252645345381E-2</v>
      </c>
      <c r="N39" s="87">
        <f t="shared" si="34"/>
        <v>9.3994778067885115E-2</v>
      </c>
      <c r="O39" s="86">
        <f t="shared" si="34"/>
        <v>5.1861702127659573E-2</v>
      </c>
      <c r="P39" s="87">
        <f t="shared" si="34"/>
        <v>9.4004595780238148E-2</v>
      </c>
      <c r="Q39" s="87">
        <f t="shared" si="34"/>
        <v>0.11326954672852034</v>
      </c>
      <c r="R39" s="87">
        <f t="shared" si="34"/>
        <v>0.17149652074341584</v>
      </c>
      <c r="S39" s="87">
        <f t="shared" si="34"/>
        <v>0.17507319113341699</v>
      </c>
      <c r="T39" s="86">
        <f t="shared" si="34"/>
        <v>0.14138656920123066</v>
      </c>
      <c r="U39" s="87">
        <f t="shared" si="34"/>
        <v>0.17756933115823817</v>
      </c>
      <c r="V39" s="87">
        <f t="shared" si="34"/>
        <v>0.20742806811509101</v>
      </c>
      <c r="W39" s="87">
        <f t="shared" si="34"/>
        <v>0.23711816322491258</v>
      </c>
      <c r="X39" s="87">
        <f t="shared" si="34"/>
        <v>0.30078125</v>
      </c>
      <c r="Y39" s="86">
        <f t="shared" si="34"/>
        <v>0.23694744910995658</v>
      </c>
      <c r="Z39" s="87">
        <f t="shared" si="34"/>
        <v>0.32943878570002</v>
      </c>
      <c r="AA39" s="100">
        <f>Scenarios!D43</f>
        <v>0.35</v>
      </c>
      <c r="AB39" s="100">
        <f>Scenarios!E43</f>
        <v>0.34</v>
      </c>
      <c r="AC39" s="100">
        <f>Scenarios!F43</f>
        <v>0.34</v>
      </c>
      <c r="AD39" s="137"/>
      <c r="AE39" s="102">
        <f>Scenarios!G43</f>
        <v>0.34</v>
      </c>
      <c r="AF39" s="102">
        <f>Scenarios!H43</f>
        <v>0.35</v>
      </c>
      <c r="AG39" s="102">
        <f>Scenarios!I43</f>
        <v>0.36</v>
      </c>
      <c r="AH39" s="102">
        <f>Scenarios!J43</f>
        <v>0.37</v>
      </c>
      <c r="AI39" s="102">
        <f>Scenarios!K43</f>
        <v>0.38</v>
      </c>
    </row>
    <row r="40" spans="1:55" s="1" customFormat="1" ht="18.75" customHeight="1">
      <c r="A40" s="83"/>
      <c r="B40" s="133"/>
      <c r="C40" s="136"/>
      <c r="D40" s="86"/>
      <c r="E40" s="86"/>
      <c r="F40" s="87"/>
      <c r="G40" s="87"/>
      <c r="H40" s="87"/>
      <c r="I40" s="87"/>
      <c r="J40" s="86"/>
      <c r="K40" s="87"/>
      <c r="L40" s="87"/>
      <c r="M40" s="87"/>
      <c r="N40" s="87"/>
      <c r="O40" s="86"/>
      <c r="P40" s="87"/>
      <c r="Q40" s="87"/>
      <c r="R40" s="87"/>
      <c r="S40" s="87"/>
      <c r="T40" s="86"/>
      <c r="U40" s="87"/>
      <c r="V40" s="87"/>
      <c r="W40" s="87"/>
      <c r="X40" s="87"/>
      <c r="Y40" s="86"/>
      <c r="Z40" s="87"/>
      <c r="AA40" s="105"/>
      <c r="AB40" s="105"/>
      <c r="AC40" s="105"/>
      <c r="AD40" s="101"/>
      <c r="AE40" s="101"/>
      <c r="AF40" s="101"/>
      <c r="AG40" s="101"/>
      <c r="AH40" s="101"/>
      <c r="AI40" s="101"/>
    </row>
    <row r="41" spans="1:55" ht="18.75" customHeight="1">
      <c r="A41" s="93"/>
      <c r="B41" s="133" t="s">
        <v>230</v>
      </c>
      <c r="C41" s="84"/>
      <c r="D41" s="138">
        <v>-4476</v>
      </c>
      <c r="E41" s="138">
        <v>-5281</v>
      </c>
      <c r="F41" s="139">
        <f>'Q - Build Up'!C20</f>
        <v>-835</v>
      </c>
      <c r="G41" s="139">
        <f>'Q - Build Up'!D20</f>
        <v>-1339</v>
      </c>
      <c r="H41" s="139">
        <f>'Q - Build Up'!E20</f>
        <v>-1225</v>
      </c>
      <c r="I41" s="139">
        <f>'Q - Build Up'!F20</f>
        <v>-1237</v>
      </c>
      <c r="J41" s="138">
        <v>-4636</v>
      </c>
      <c r="K41" s="139">
        <f>'Q - Build Up'!H20</f>
        <v>-1225</v>
      </c>
      <c r="L41" s="139">
        <f>'Q - Build Up'!I20</f>
        <v>-813</v>
      </c>
      <c r="M41" s="139">
        <f>'Q - Build Up'!J20</f>
        <v>-1194</v>
      </c>
      <c r="N41" s="139">
        <f>'Q - Build Up'!K20</f>
        <v>-863</v>
      </c>
      <c r="O41" s="138">
        <v>-4095</v>
      </c>
      <c r="P41" s="139">
        <f>'Q - Build Up'!M20</f>
        <v>-1020</v>
      </c>
      <c r="Q41" s="139">
        <f>'Q - Build Up'!N20</f>
        <v>-1134</v>
      </c>
      <c r="R41" s="139">
        <f>'Q - Build Up'!O20</f>
        <v>-1116</v>
      </c>
      <c r="S41" s="139">
        <f>'Q - Build Up'!P20</f>
        <v>-1174</v>
      </c>
      <c r="T41" s="138">
        <v>-4444</v>
      </c>
      <c r="U41" s="139">
        <f>'Q - Build Up'!R20</f>
        <v>-1226</v>
      </c>
      <c r="V41" s="139">
        <f>'Q - Build Up'!S20</f>
        <v>-1246</v>
      </c>
      <c r="W41" s="139">
        <f>'Q - Build Up'!T20</f>
        <v>-1426</v>
      </c>
      <c r="X41" s="139">
        <f>'Q - Build Up'!U20</f>
        <v>-3617</v>
      </c>
      <c r="Y41" s="138">
        <v>-7515</v>
      </c>
      <c r="Z41" s="139">
        <f>'Q - Build Up'!W20</f>
        <v>-2100</v>
      </c>
      <c r="AA41" s="104">
        <f>AA25-AA42</f>
        <v>-2380.8940000000002</v>
      </c>
      <c r="AB41" s="104">
        <f t="shared" ref="AB41:AE41" si="35">AB25-AB42</f>
        <v>-2686.7420000000011</v>
      </c>
      <c r="AC41" s="104">
        <f t="shared" si="35"/>
        <v>-2964.0010000000011</v>
      </c>
      <c r="AD41" s="639">
        <f>SUM(Z41:AC41)</f>
        <v>-10131.637000000002</v>
      </c>
      <c r="AE41" s="104">
        <f t="shared" si="35"/>
        <v>-11003.044520000005</v>
      </c>
      <c r="AF41" s="104">
        <f t="shared" ref="AF41" si="36">AF25-AF42</f>
        <v>-11946.599704000006</v>
      </c>
      <c r="AG41" s="104">
        <f t="shared" ref="AG41" si="37">AG25-AG42</f>
        <v>-12968.171767616008</v>
      </c>
      <c r="AH41" s="104">
        <f t="shared" ref="AH41" si="38">AH25-AH42</f>
        <v>-14074.103359813129</v>
      </c>
      <c r="AI41" s="104">
        <f t="shared" ref="AI41" si="39">AI25-AI42</f>
        <v>-15271.248593417533</v>
      </c>
      <c r="AJ41" s="1"/>
      <c r="AK41" s="1"/>
      <c r="AL41" s="1"/>
      <c r="AM41" s="1"/>
      <c r="AN41" s="1"/>
      <c r="AO41" s="1"/>
      <c r="AP41" s="1"/>
      <c r="AQ41" s="1"/>
      <c r="AR41" s="1"/>
      <c r="AS41" s="1"/>
      <c r="AT41" s="1"/>
      <c r="AU41" s="1"/>
      <c r="AV41" s="1"/>
      <c r="AW41" s="1"/>
      <c r="AX41" s="1"/>
      <c r="AY41" s="1"/>
      <c r="AZ41" s="1"/>
      <c r="BA41" s="1"/>
      <c r="BB41" s="1"/>
      <c r="BC41" s="1"/>
    </row>
    <row r="42" spans="1:55" ht="18.75" customHeight="1">
      <c r="A42" s="93"/>
      <c r="B42" s="133"/>
      <c r="C42" s="84" t="s">
        <v>235</v>
      </c>
      <c r="D42" s="138">
        <v>5133</v>
      </c>
      <c r="E42" s="138">
        <v>6034</v>
      </c>
      <c r="F42" s="139">
        <f>F25-F41</f>
        <v>1275</v>
      </c>
      <c r="G42" s="139">
        <f>G25-G41</f>
        <v>1532</v>
      </c>
      <c r="H42" s="139">
        <f>H25-H41</f>
        <v>1434</v>
      </c>
      <c r="I42" s="139">
        <f>I25-I41</f>
        <v>1463</v>
      </c>
      <c r="J42" s="138">
        <v>5704</v>
      </c>
      <c r="K42" s="139">
        <f>K25-K41</f>
        <v>1513</v>
      </c>
      <c r="L42" s="139">
        <f>L25-L41</f>
        <v>1098</v>
      </c>
      <c r="M42" s="139">
        <f>M25-M41</f>
        <v>1491</v>
      </c>
      <c r="N42" s="139">
        <f>N25-N41</f>
        <v>1520</v>
      </c>
      <c r="O42" s="138">
        <v>5622</v>
      </c>
      <c r="P42" s="139">
        <f>P25-P41</f>
        <v>1515</v>
      </c>
      <c r="Q42" s="139">
        <f>Q25-Q41</f>
        <v>1499</v>
      </c>
      <c r="R42" s="139">
        <f>R25-R41</f>
        <v>1504</v>
      </c>
      <c r="S42" s="139">
        <f>S25-S41</f>
        <v>1574</v>
      </c>
      <c r="T42" s="138">
        <v>6092</v>
      </c>
      <c r="U42" s="139">
        <f>U25-U41</f>
        <v>1676</v>
      </c>
      <c r="V42" s="139">
        <f>V25-V41</f>
        <v>1619</v>
      </c>
      <c r="W42" s="139">
        <f>W25-W41</f>
        <v>1770</v>
      </c>
      <c r="X42" s="139">
        <f>X25-X41</f>
        <v>3987</v>
      </c>
      <c r="Y42" s="138">
        <v>8952</v>
      </c>
      <c r="Z42" s="139">
        <f>Z25-Z41</f>
        <v>2511</v>
      </c>
      <c r="AA42" s="104">
        <f>Z42*(1+AA43)</f>
        <v>2762.1000000000004</v>
      </c>
      <c r="AB42" s="104">
        <f>AA42*(1+AB43)</f>
        <v>3038.3100000000009</v>
      </c>
      <c r="AC42" s="104">
        <f>AB42*(1+AC43)</f>
        <v>3342.141000000001</v>
      </c>
      <c r="AD42" s="97">
        <f>SUM(Z42:AC42)</f>
        <v>11653.551000000003</v>
      </c>
      <c r="AE42" s="638">
        <f>AD42*(1+AE43)</f>
        <v>12585.835080000004</v>
      </c>
      <c r="AF42" s="638">
        <f>AE42*(1+AF43)</f>
        <v>13592.701886400006</v>
      </c>
      <c r="AG42" s="638">
        <f>AF42*(1+AG43)</f>
        <v>14680.118037312008</v>
      </c>
      <c r="AH42" s="638">
        <f>AG42*(1+AH43)</f>
        <v>15854.527480296969</v>
      </c>
      <c r="AI42" s="638">
        <f>AH42*(1+AI43)</f>
        <v>17122.889678720727</v>
      </c>
      <c r="AJ42" s="139"/>
      <c r="AK42" s="139"/>
      <c r="AL42" s="139"/>
      <c r="AM42" s="139"/>
      <c r="AN42" s="139"/>
      <c r="AO42" s="139"/>
      <c r="AP42" s="1"/>
      <c r="AQ42" s="1"/>
      <c r="AR42" s="1"/>
      <c r="AS42" s="1"/>
      <c r="AT42" s="1"/>
      <c r="AU42" s="1"/>
      <c r="AV42" s="1"/>
      <c r="AW42" s="1"/>
      <c r="AX42" s="1"/>
      <c r="AY42" s="1"/>
      <c r="AZ42" s="1"/>
      <c r="BA42" s="1"/>
      <c r="BB42" s="1"/>
      <c r="BC42" s="1"/>
    </row>
    <row r="43" spans="1:55" ht="18.75" customHeight="1">
      <c r="A43" s="93"/>
      <c r="B43" s="133"/>
      <c r="C43" s="136" t="s">
        <v>62</v>
      </c>
      <c r="D43" s="86"/>
      <c r="E43" s="86">
        <f>E42/D42-1</f>
        <v>0.17553087862848238</v>
      </c>
      <c r="F43" s="87"/>
      <c r="G43" s="87"/>
      <c r="H43" s="87"/>
      <c r="I43" s="87"/>
      <c r="J43" s="86">
        <f t="shared" ref="J43:Z43" si="40">J42/E42-1</f>
        <v>-5.4690089492873684E-2</v>
      </c>
      <c r="K43" s="87">
        <f t="shared" si="40"/>
        <v>0.18666666666666676</v>
      </c>
      <c r="L43" s="87">
        <f t="shared" si="40"/>
        <v>-0.28328981723237601</v>
      </c>
      <c r="M43" s="87">
        <f t="shared" si="40"/>
        <v>3.9748953974895418E-2</v>
      </c>
      <c r="N43" s="87">
        <f t="shared" si="40"/>
        <v>3.8961038961038863E-2</v>
      </c>
      <c r="O43" s="86">
        <f t="shared" si="40"/>
        <v>-1.4375876577840119E-2</v>
      </c>
      <c r="P43" s="87">
        <f t="shared" si="40"/>
        <v>1.3218770654328527E-3</v>
      </c>
      <c r="Q43" s="87">
        <f t="shared" si="40"/>
        <v>0.36520947176684881</v>
      </c>
      <c r="R43" s="87">
        <f t="shared" si="40"/>
        <v>8.7189805499665596E-3</v>
      </c>
      <c r="S43" s="87">
        <f t="shared" si="40"/>
        <v>3.5526315789473628E-2</v>
      </c>
      <c r="T43" s="86">
        <f t="shared" si="40"/>
        <v>8.3600142298114521E-2</v>
      </c>
      <c r="U43" s="87">
        <f t="shared" si="40"/>
        <v>0.10627062706270629</v>
      </c>
      <c r="V43" s="87">
        <f t="shared" si="40"/>
        <v>8.0053368912608391E-2</v>
      </c>
      <c r="W43" s="87">
        <f t="shared" si="40"/>
        <v>0.1768617021276595</v>
      </c>
      <c r="X43" s="87">
        <f t="shared" si="40"/>
        <v>1.5330368487928845</v>
      </c>
      <c r="Y43" s="86">
        <f t="shared" si="40"/>
        <v>0.46946815495732097</v>
      </c>
      <c r="Z43" s="87">
        <f t="shared" si="40"/>
        <v>0.49821002386634849</v>
      </c>
      <c r="AA43" s="100">
        <v>0.1</v>
      </c>
      <c r="AB43" s="100">
        <v>0.1</v>
      </c>
      <c r="AC43" s="100">
        <v>0.1</v>
      </c>
      <c r="AD43" s="137"/>
      <c r="AE43" s="102">
        <v>0.08</v>
      </c>
      <c r="AF43" s="102">
        <v>0.08</v>
      </c>
      <c r="AG43" s="102">
        <v>0.08</v>
      </c>
      <c r="AH43" s="102">
        <v>0.08</v>
      </c>
      <c r="AI43" s="102">
        <v>0.08</v>
      </c>
      <c r="AJ43" s="1"/>
      <c r="AK43" s="1"/>
      <c r="AL43" s="1"/>
      <c r="AM43" s="1"/>
      <c r="AN43" s="1"/>
      <c r="AO43" s="1"/>
      <c r="AP43" s="1"/>
      <c r="AQ43" s="1"/>
      <c r="AR43" s="1"/>
      <c r="AS43" s="1"/>
      <c r="AT43" s="1"/>
      <c r="AU43" s="1"/>
      <c r="AV43" s="1"/>
      <c r="AW43" s="1"/>
      <c r="AX43" s="1"/>
      <c r="AY43" s="1"/>
      <c r="AZ43" s="1"/>
      <c r="BA43" s="1"/>
      <c r="BB43" s="1"/>
      <c r="BC43" s="1"/>
    </row>
    <row r="44" spans="1:55" ht="18.75" customHeight="1">
      <c r="A44" s="93"/>
      <c r="B44" s="133"/>
      <c r="C44" s="136"/>
      <c r="D44" s="86"/>
      <c r="E44" s="86"/>
      <c r="F44" s="87"/>
      <c r="G44" s="87"/>
      <c r="H44" s="87"/>
      <c r="I44" s="87"/>
      <c r="J44" s="86"/>
      <c r="K44" s="87"/>
      <c r="L44" s="87"/>
      <c r="M44" s="87"/>
      <c r="N44" s="87"/>
      <c r="O44" s="86"/>
      <c r="P44" s="87"/>
      <c r="Q44" s="87"/>
      <c r="R44" s="87"/>
      <c r="S44" s="87"/>
      <c r="T44" s="86"/>
      <c r="U44" s="87"/>
      <c r="V44" s="87"/>
      <c r="W44" s="87"/>
      <c r="X44" s="87"/>
      <c r="Y44" s="86"/>
      <c r="Z44" s="87"/>
      <c r="AA44" s="105"/>
      <c r="AB44" s="105"/>
      <c r="AC44" s="105"/>
      <c r="AD44" s="101"/>
      <c r="AE44" s="101"/>
      <c r="AF44" s="101"/>
      <c r="AG44" s="101"/>
      <c r="AH44" s="101"/>
      <c r="AI44" s="101"/>
      <c r="AJ44" s="1"/>
      <c r="AK44" s="1"/>
      <c r="AL44" s="1"/>
      <c r="AM44" s="1"/>
      <c r="AN44" s="1"/>
      <c r="AO44" s="1"/>
      <c r="AP44" s="1"/>
      <c r="AQ44" s="1"/>
      <c r="AR44" s="1"/>
      <c r="AS44" s="1"/>
      <c r="AT44" s="1"/>
      <c r="AU44" s="1"/>
      <c r="AV44" s="1"/>
      <c r="AW44" s="1"/>
      <c r="AX44" s="1"/>
      <c r="AY44" s="1"/>
      <c r="AZ44" s="1"/>
      <c r="BA44" s="1"/>
      <c r="BB44" s="1"/>
      <c r="BC44" s="1"/>
    </row>
    <row r="45" spans="1:55" ht="25.5" customHeight="1">
      <c r="A45" s="93"/>
      <c r="B45" s="133" t="s">
        <v>236</v>
      </c>
      <c r="C45" s="84"/>
      <c r="D45" s="94">
        <v>-3299</v>
      </c>
      <c r="E45" s="94">
        <v>-4761</v>
      </c>
      <c r="F45" s="95">
        <f>'Q - Build Up'!C21</f>
        <v>-338</v>
      </c>
      <c r="G45" s="95">
        <f>'Q - Build Up'!D21</f>
        <v>-239</v>
      </c>
      <c r="H45" s="95">
        <f>'Q - Build Up'!E21</f>
        <v>-83</v>
      </c>
      <c r="I45" s="95">
        <f>'Q - Build Up'!F21</f>
        <v>-639</v>
      </c>
      <c r="J45" s="94">
        <v>-1299</v>
      </c>
      <c r="K45" s="95">
        <f>'Q - Build Up'!H21</f>
        <v>-3288</v>
      </c>
      <c r="L45" s="95">
        <f>'Q - Build Up'!I21</f>
        <v>-1198</v>
      </c>
      <c r="M45" s="95">
        <f>'Q - Build Up'!J21</f>
        <v>-1666</v>
      </c>
      <c r="N45" s="95">
        <f>'Q - Build Up'!K21</f>
        <v>-3034</v>
      </c>
      <c r="O45" s="94">
        <v>-9186</v>
      </c>
      <c r="P45" s="95">
        <f>'Q - Build Up'!M21</f>
        <v>-2305</v>
      </c>
      <c r="Q45" s="95">
        <f>'Q - Build Up'!N21</f>
        <v>-2287</v>
      </c>
      <c r="R45" s="95">
        <f>'Q - Build Up'!O21</f>
        <v>-3166</v>
      </c>
      <c r="S45" s="95">
        <f>'Q - Build Up'!P21</f>
        <v>-2783</v>
      </c>
      <c r="T45" s="94">
        <v>-10541</v>
      </c>
      <c r="U45" s="95">
        <f>'Q - Build Up'!R21</f>
        <v>-3027</v>
      </c>
      <c r="V45" s="95">
        <f>'Q - Build Up'!S21</f>
        <v>-3372</v>
      </c>
      <c r="W45" s="95">
        <f>'Q - Build Up'!T21</f>
        <v>-4467</v>
      </c>
      <c r="X45" s="95">
        <f>'Q - Build Up'!U21</f>
        <v>-5894</v>
      </c>
      <c r="Y45" s="94">
        <v>-16760</v>
      </c>
      <c r="Z45" s="95">
        <f>'Q - Build Up'!W21</f>
        <v>-5391</v>
      </c>
      <c r="AA45" s="104">
        <f>-AA46*AA6</f>
        <v>-3585.3289371899996</v>
      </c>
      <c r="AB45" s="104">
        <f>-AB46*AB6</f>
        <v>-4045.0055927981698</v>
      </c>
      <c r="AC45" s="104">
        <f>-AC46*AC6</f>
        <v>-4602.2575796231931</v>
      </c>
      <c r="AD45" s="639">
        <f>SUM(Z45:AC45)</f>
        <v>-17623.592109611363</v>
      </c>
      <c r="AE45" s="638">
        <f>-AE46*AE6</f>
        <v>-18987.737766487844</v>
      </c>
      <c r="AF45" s="638">
        <f>-AF46*AF6</f>
        <v>-22493.611233985808</v>
      </c>
      <c r="AG45" s="638">
        <f>-AG46*AG6</f>
        <v>-25827.726982424814</v>
      </c>
      <c r="AH45" s="638">
        <f>-AH46*AH6</f>
        <v>-29070.9488608668</v>
      </c>
      <c r="AI45" s="638">
        <f>-AI46*AI6</f>
        <v>-32037.236581994686</v>
      </c>
      <c r="AJ45" s="140"/>
      <c r="AK45" s="1"/>
      <c r="AL45" s="1"/>
      <c r="AM45" s="1"/>
      <c r="AN45" s="1"/>
      <c r="AO45" s="1"/>
      <c r="AP45" s="1"/>
      <c r="AQ45" s="1"/>
      <c r="AR45" s="1"/>
      <c r="AS45" s="1"/>
      <c r="AT45" s="1"/>
      <c r="AU45" s="1"/>
      <c r="AV45" s="1"/>
      <c r="AW45" s="1"/>
      <c r="AX45" s="1"/>
      <c r="AY45" s="1"/>
      <c r="AZ45" s="1"/>
      <c r="BA45" s="1"/>
      <c r="BB45" s="1"/>
      <c r="BC45" s="1"/>
    </row>
    <row r="46" spans="1:55" ht="19.5" customHeight="1">
      <c r="A46" s="93"/>
      <c r="B46" s="99"/>
      <c r="C46" s="136" t="s">
        <v>237</v>
      </c>
      <c r="D46" s="86">
        <f t="shared" ref="D46:Z46" si="41">-D45/D6</f>
        <v>1.8074038361447897E-2</v>
      </c>
      <c r="E46" s="86">
        <f t="shared" si="41"/>
        <v>1.8479488582773436E-2</v>
      </c>
      <c r="F46" s="87">
        <f t="shared" si="41"/>
        <v>4.9697842995985947E-3</v>
      </c>
      <c r="G46" s="87">
        <f t="shared" si="41"/>
        <v>3.4297194518188995E-3</v>
      </c>
      <c r="H46" s="87">
        <f t="shared" si="41"/>
        <v>1.2012968216291323E-3</v>
      </c>
      <c r="I46" s="87">
        <f t="shared" si="41"/>
        <v>8.402587839259415E-3</v>
      </c>
      <c r="J46" s="86">
        <f t="shared" si="41"/>
        <v>4.5927675401999744E-3</v>
      </c>
      <c r="K46" s="87">
        <f t="shared" si="41"/>
        <v>4.7114792153266367E-2</v>
      </c>
      <c r="L46" s="87">
        <f t="shared" si="41"/>
        <v>1.605812020803174E-2</v>
      </c>
      <c r="M46" s="87">
        <f t="shared" si="41"/>
        <v>2.1722973413479719E-2</v>
      </c>
      <c r="N46" s="87">
        <f t="shared" si="41"/>
        <v>3.5152357780095005E-2</v>
      </c>
      <c r="O46" s="86">
        <f t="shared" si="41"/>
        <v>2.9883472026129333E-2</v>
      </c>
      <c r="P46" s="87">
        <f t="shared" si="41"/>
        <v>2.8619674940091135E-2</v>
      </c>
      <c r="Q46" s="87">
        <f t="shared" si="41"/>
        <v>2.6987798258242667E-2</v>
      </c>
      <c r="R46" s="87">
        <f t="shared" si="41"/>
        <v>3.586803824715639E-2</v>
      </c>
      <c r="S46" s="87">
        <f t="shared" si="41"/>
        <v>2.8848645678922764E-2</v>
      </c>
      <c r="T46" s="86">
        <f t="shared" si="41"/>
        <v>3.0115594055162877E-2</v>
      </c>
      <c r="U46" s="87">
        <f t="shared" si="41"/>
        <v>3.3546113438393511E-2</v>
      </c>
      <c r="V46" s="87">
        <f t="shared" si="41"/>
        <v>3.4969096113162151E-2</v>
      </c>
      <c r="W46" s="87">
        <f t="shared" si="41"/>
        <v>4.364606335372169E-2</v>
      </c>
      <c r="X46" s="87">
        <f t="shared" si="41"/>
        <v>5.1779878413044239E-2</v>
      </c>
      <c r="Y46" s="86">
        <f t="shared" si="41"/>
        <v>4.1605020405326237E-2</v>
      </c>
      <c r="Z46" s="87">
        <f t="shared" si="41"/>
        <v>4.9055470626774407E-2</v>
      </c>
      <c r="AA46" s="100">
        <v>0.03</v>
      </c>
      <c r="AB46" s="100">
        <v>0.03</v>
      </c>
      <c r="AC46" s="100">
        <v>0.03</v>
      </c>
      <c r="AD46" s="137"/>
      <c r="AE46" s="594">
        <v>0.03</v>
      </c>
      <c r="AF46" s="594">
        <v>0.03</v>
      </c>
      <c r="AG46" s="594">
        <v>0.03</v>
      </c>
      <c r="AH46" s="594">
        <v>0.03</v>
      </c>
      <c r="AI46" s="594">
        <v>0.03</v>
      </c>
      <c r="AJ46" s="140"/>
      <c r="AK46" s="1"/>
      <c r="AL46" s="1"/>
      <c r="AM46" s="1"/>
      <c r="AN46" s="1"/>
      <c r="AO46" s="1"/>
      <c r="AP46" s="1"/>
      <c r="AQ46" s="1"/>
      <c r="AR46" s="1"/>
      <c r="AS46" s="1"/>
      <c r="AT46" s="1"/>
      <c r="AU46" s="1"/>
      <c r="AV46" s="1"/>
      <c r="AW46" s="1"/>
      <c r="AX46" s="1"/>
      <c r="AY46" s="1"/>
      <c r="AZ46" s="1"/>
      <c r="BA46" s="1"/>
      <c r="BB46" s="1"/>
      <c r="BC46" s="1"/>
    </row>
    <row r="47" spans="1:55" ht="19.5" customHeight="1">
      <c r="A47" s="93"/>
      <c r="B47" s="99"/>
      <c r="C47" s="136"/>
      <c r="D47" s="86"/>
      <c r="E47" s="86"/>
      <c r="F47" s="87"/>
      <c r="G47" s="87"/>
      <c r="H47" s="87"/>
      <c r="I47" s="87"/>
      <c r="J47" s="86"/>
      <c r="K47" s="87"/>
      <c r="L47" s="87"/>
      <c r="M47" s="87"/>
      <c r="N47" s="87"/>
      <c r="O47" s="86"/>
      <c r="P47" s="87"/>
      <c r="Q47" s="87"/>
      <c r="R47" s="87"/>
      <c r="S47" s="87"/>
      <c r="T47" s="86"/>
      <c r="U47" s="87"/>
      <c r="V47" s="87"/>
      <c r="W47" s="87"/>
      <c r="X47" s="87"/>
      <c r="Y47" s="86"/>
      <c r="Z47" s="87"/>
      <c r="AA47" s="105"/>
      <c r="AB47" s="105"/>
      <c r="AC47" s="105"/>
      <c r="AD47" s="101"/>
      <c r="AE47" s="101"/>
      <c r="AF47" s="101"/>
      <c r="AG47" s="101"/>
      <c r="AH47" s="101"/>
      <c r="AI47" s="101"/>
      <c r="AJ47" s="140"/>
      <c r="AK47" s="1"/>
      <c r="AL47" s="1"/>
      <c r="AM47" s="1"/>
      <c r="AN47" s="1"/>
      <c r="AO47" s="1"/>
      <c r="AP47" s="1"/>
      <c r="AQ47" s="1"/>
      <c r="AR47" s="1"/>
      <c r="AS47" s="1"/>
      <c r="AT47" s="1"/>
      <c r="AU47" s="1"/>
      <c r="AV47" s="1"/>
      <c r="AW47" s="1"/>
      <c r="AX47" s="1"/>
      <c r="AY47" s="1"/>
      <c r="AZ47" s="1"/>
      <c r="BA47" s="1"/>
      <c r="BB47" s="1"/>
      <c r="BC47" s="1"/>
    </row>
    <row r="48" spans="1:55" ht="18.75" customHeight="1">
      <c r="A48" s="79" t="s">
        <v>238</v>
      </c>
      <c r="B48" s="80"/>
      <c r="C48" s="80"/>
      <c r="D48" s="81">
        <f t="shared" ref="D48:Z48" si="42">D6-D32</f>
        <v>141303</v>
      </c>
      <c r="E48" s="81">
        <f t="shared" si="42"/>
        <v>178923</v>
      </c>
      <c r="F48" s="82">
        <f t="shared" si="42"/>
        <v>47917</v>
      </c>
      <c r="G48" s="82">
        <f t="shared" si="42"/>
        <v>50232</v>
      </c>
      <c r="H48" s="82">
        <f t="shared" si="42"/>
        <v>51957</v>
      </c>
      <c r="I48" s="82">
        <f t="shared" si="42"/>
        <v>57888</v>
      </c>
      <c r="J48" s="81">
        <f t="shared" si="42"/>
        <v>207994</v>
      </c>
      <c r="K48" s="82">
        <f t="shared" si="42"/>
        <v>52372</v>
      </c>
      <c r="L48" s="82">
        <f t="shared" si="42"/>
        <v>52766</v>
      </c>
      <c r="M48" s="82">
        <f t="shared" si="42"/>
        <v>55350</v>
      </c>
      <c r="N48" s="82">
        <f t="shared" si="42"/>
        <v>62613</v>
      </c>
      <c r="O48" s="81">
        <f t="shared" si="42"/>
        <v>223101</v>
      </c>
      <c r="P48" s="82">
        <f t="shared" si="42"/>
        <v>55067</v>
      </c>
      <c r="Q48" s="82">
        <f t="shared" si="42"/>
        <v>57317</v>
      </c>
      <c r="R48" s="82">
        <f t="shared" si="42"/>
        <v>59747</v>
      </c>
      <c r="S48" s="82">
        <f t="shared" si="42"/>
        <v>65497</v>
      </c>
      <c r="T48" s="81">
        <f t="shared" si="42"/>
        <v>237628</v>
      </c>
      <c r="U48" s="82">
        <f t="shared" si="42"/>
        <v>59628</v>
      </c>
      <c r="V48" s="82">
        <f t="shared" si="42"/>
        <v>65157</v>
      </c>
      <c r="W48" s="82">
        <f t="shared" si="42"/>
        <v>71118</v>
      </c>
      <c r="X48" s="82">
        <f t="shared" si="42"/>
        <v>77894</v>
      </c>
      <c r="Y48" s="81">
        <f t="shared" si="42"/>
        <v>273797</v>
      </c>
      <c r="Z48" s="82">
        <f t="shared" si="42"/>
        <v>70200</v>
      </c>
      <c r="AA48" s="141">
        <f>AA6-AA32</f>
        <v>73693.642360190002</v>
      </c>
      <c r="AB48" s="141">
        <f t="shared" ref="AB48:AI48" si="43">AB6-AB32</f>
        <v>83276.454530187155</v>
      </c>
      <c r="AC48" s="141">
        <f t="shared" si="43"/>
        <v>94706.060771510645</v>
      </c>
      <c r="AD48" s="141">
        <f>AD6-AD32</f>
        <v>321876.15766188782</v>
      </c>
      <c r="AE48" s="141">
        <f t="shared" si="43"/>
        <v>392363.16779239406</v>
      </c>
      <c r="AF48" s="141">
        <f t="shared" si="43"/>
        <v>457939.51333507407</v>
      </c>
      <c r="AG48" s="141">
        <f t="shared" si="43"/>
        <v>517309.62985220179</v>
      </c>
      <c r="AH48" s="141">
        <f t="shared" si="43"/>
        <v>579993.87670156546</v>
      </c>
      <c r="AI48" s="141">
        <f t="shared" si="43"/>
        <v>636421.92073130433</v>
      </c>
      <c r="AJ48" s="1"/>
      <c r="AK48" s="1"/>
      <c r="AL48" s="1"/>
      <c r="AM48" s="1"/>
      <c r="AN48" s="1"/>
      <c r="AO48" s="1"/>
      <c r="AP48" s="1"/>
      <c r="AQ48" s="1"/>
      <c r="AR48" s="1"/>
      <c r="AS48" s="1"/>
      <c r="AT48" s="1"/>
      <c r="AU48" s="1"/>
      <c r="AV48" s="1"/>
      <c r="AW48" s="1"/>
      <c r="AX48" s="1"/>
      <c r="AY48" s="1"/>
      <c r="AZ48" s="1"/>
      <c r="BA48" s="1"/>
      <c r="BB48" s="1"/>
      <c r="BC48" s="1"/>
    </row>
    <row r="49" spans="1:55" ht="18.75" customHeight="1">
      <c r="A49" s="83"/>
      <c r="B49" s="84"/>
      <c r="C49" s="84"/>
      <c r="D49" s="142"/>
      <c r="E49" s="142"/>
      <c r="F49" s="143"/>
      <c r="G49" s="143"/>
      <c r="H49" s="143"/>
      <c r="I49" s="143"/>
      <c r="J49" s="142"/>
      <c r="K49" s="143"/>
      <c r="L49" s="143"/>
      <c r="M49" s="143"/>
      <c r="N49" s="143"/>
      <c r="O49" s="142"/>
      <c r="P49" s="143"/>
      <c r="Q49" s="143"/>
      <c r="R49" s="143"/>
      <c r="S49" s="143"/>
      <c r="T49" s="142"/>
      <c r="U49" s="143"/>
      <c r="V49" s="143"/>
      <c r="W49" s="143"/>
      <c r="X49" s="143"/>
      <c r="Y49" s="142"/>
      <c r="Z49" s="143"/>
      <c r="AA49" s="144"/>
      <c r="AB49" s="144"/>
      <c r="AC49" s="144"/>
      <c r="AD49" s="145"/>
      <c r="AE49" s="145"/>
      <c r="AF49" s="145"/>
      <c r="AG49" s="145"/>
      <c r="AH49" s="145"/>
      <c r="AI49" s="145"/>
      <c r="AJ49" s="1"/>
      <c r="AK49" s="1"/>
      <c r="AL49" s="1"/>
      <c r="AM49" s="1"/>
      <c r="AN49" s="1"/>
      <c r="AO49" s="1"/>
      <c r="AP49" s="1"/>
      <c r="AQ49" s="1"/>
      <c r="AR49" s="1"/>
      <c r="AS49" s="1"/>
      <c r="AT49" s="1"/>
      <c r="AU49" s="1"/>
      <c r="AV49" s="1"/>
      <c r="AW49" s="1"/>
      <c r="AX49" s="1"/>
      <c r="AY49" s="1"/>
      <c r="AZ49" s="1"/>
      <c r="BA49" s="1"/>
      <c r="BB49" s="1"/>
      <c r="BC49" s="1"/>
    </row>
    <row r="50" spans="1:55" ht="19.5" customHeight="1">
      <c r="A50" s="83"/>
      <c r="B50" s="99" t="s">
        <v>239</v>
      </c>
      <c r="C50" s="84"/>
      <c r="D50" s="146">
        <f>'Income Statement'!D8</f>
        <v>84732</v>
      </c>
      <c r="E50" s="146">
        <f>'Income Statement'!E8</f>
        <v>110939</v>
      </c>
      <c r="F50" s="147">
        <f>'Q - Build Up'!C26</f>
        <v>29599</v>
      </c>
      <c r="G50" s="147">
        <f>'Q - Build Up'!D26</f>
        <v>30104</v>
      </c>
      <c r="H50" s="147">
        <f>'Q - Build Up'!E26</f>
        <v>31158</v>
      </c>
      <c r="I50" s="147">
        <f>'Q - Build Up'!F26</f>
        <v>35342</v>
      </c>
      <c r="J50" s="146">
        <f>'Income Statement'!J8</f>
        <v>126203</v>
      </c>
      <c r="K50" s="147">
        <f>'Q - Build Up'!H26</f>
        <v>30612</v>
      </c>
      <c r="L50" s="147">
        <f>'Q - Build Up'!I26</f>
        <v>31916</v>
      </c>
      <c r="M50" s="147">
        <f>'Q - Build Up'!J26</f>
        <v>33229</v>
      </c>
      <c r="N50" s="147">
        <f>'Q - Build Up'!K26</f>
        <v>37575</v>
      </c>
      <c r="O50" s="146">
        <f>'Income Statement'!O8</f>
        <v>133332</v>
      </c>
      <c r="P50" s="147">
        <f>'Q - Build Up'!M26</f>
        <v>33712</v>
      </c>
      <c r="Q50" s="147">
        <f>'Q - Build Up'!N26</f>
        <v>35507</v>
      </c>
      <c r="R50" s="147">
        <f>'Q - Build Up'!O26</f>
        <v>36474</v>
      </c>
      <c r="S50" s="147">
        <f>'Q - Build Up'!P26</f>
        <v>40613</v>
      </c>
      <c r="T50" s="146">
        <f>'Income Statement'!T8</f>
        <v>146306</v>
      </c>
      <c r="U50" s="147">
        <f>'Q - Build Up'!R26</f>
        <v>36361</v>
      </c>
      <c r="V50" s="147">
        <f>'Q - Build Up'!S26</f>
        <v>39039</v>
      </c>
      <c r="W50" s="147">
        <f>'Q - Build Up'!T26</f>
        <v>41369</v>
      </c>
      <c r="X50" s="147">
        <f>'Q - Build Up'!U26</f>
        <v>45766</v>
      </c>
      <c r="Y50" s="146">
        <f>'Income Statement'!Y8</f>
        <v>162535</v>
      </c>
      <c r="Z50" s="147">
        <f>'Q - Build Up'!W26</f>
        <v>41271</v>
      </c>
      <c r="AA50" s="127">
        <f>AA51*AA48</f>
        <v>43331.861707791722</v>
      </c>
      <c r="AB50" s="127">
        <f t="shared" ref="AB50:AI50" si="44">AB51*AB48</f>
        <v>48966.555263750044</v>
      </c>
      <c r="AC50" s="127">
        <f t="shared" si="44"/>
        <v>55687.16373364826</v>
      </c>
      <c r="AD50" s="127">
        <f t="shared" si="44"/>
        <v>189263.18070519003</v>
      </c>
      <c r="AE50" s="127">
        <f t="shared" si="44"/>
        <v>230709.5426619277</v>
      </c>
      <c r="AF50" s="127">
        <f t="shared" si="44"/>
        <v>269268.43384102354</v>
      </c>
      <c r="AG50" s="127">
        <f t="shared" si="44"/>
        <v>304178.06235309463</v>
      </c>
      <c r="AH50" s="127">
        <f t="shared" si="44"/>
        <v>341036.39950052049</v>
      </c>
      <c r="AI50" s="127">
        <f t="shared" si="44"/>
        <v>374216.08939000691</v>
      </c>
      <c r="AJ50" s="1"/>
      <c r="AK50" s="1"/>
      <c r="AL50" s="1"/>
      <c r="AM50" s="1"/>
      <c r="AN50" s="1"/>
      <c r="AO50" s="1"/>
      <c r="AP50" s="1"/>
      <c r="AQ50" s="1"/>
      <c r="AR50" s="1"/>
      <c r="AS50" s="1"/>
      <c r="AT50" s="1"/>
      <c r="AU50" s="1"/>
      <c r="AV50" s="1"/>
      <c r="AW50" s="1"/>
      <c r="AX50" s="1"/>
      <c r="AY50" s="1"/>
      <c r="AZ50" s="1"/>
      <c r="BA50" s="1"/>
      <c r="BB50" s="1"/>
      <c r="BC50" s="1"/>
    </row>
    <row r="51" spans="1:55" ht="19.5" customHeight="1">
      <c r="A51" s="93"/>
      <c r="B51" s="129"/>
      <c r="C51" s="129" t="s">
        <v>240</v>
      </c>
      <c r="D51" s="86">
        <f t="shared" ref="D51:Z51" si="45">D50/D48</f>
        <v>0.59964756586908985</v>
      </c>
      <c r="E51" s="86">
        <f t="shared" si="45"/>
        <v>0.62003766983562758</v>
      </c>
      <c r="F51" s="87">
        <f t="shared" si="45"/>
        <v>0.61771396372894793</v>
      </c>
      <c r="G51" s="87">
        <f t="shared" si="45"/>
        <v>0.59929925147316454</v>
      </c>
      <c r="H51" s="87">
        <f t="shared" si="45"/>
        <v>0.59968820370691145</v>
      </c>
      <c r="I51" s="87">
        <f t="shared" si="45"/>
        <v>0.6105237700386954</v>
      </c>
      <c r="J51" s="86">
        <f t="shared" si="45"/>
        <v>0.60676269507774261</v>
      </c>
      <c r="K51" s="87">
        <f t="shared" si="45"/>
        <v>0.58451080730161153</v>
      </c>
      <c r="L51" s="87">
        <f t="shared" si="45"/>
        <v>0.60485918962968577</v>
      </c>
      <c r="M51" s="87">
        <f t="shared" si="45"/>
        <v>0.60034327009936761</v>
      </c>
      <c r="N51" s="87">
        <f t="shared" si="45"/>
        <v>0.60011499209429353</v>
      </c>
      <c r="O51" s="86">
        <f t="shared" si="45"/>
        <v>0.59763066951739352</v>
      </c>
      <c r="P51" s="87">
        <f t="shared" si="45"/>
        <v>0.61219968402128322</v>
      </c>
      <c r="Q51" s="87">
        <f t="shared" si="45"/>
        <v>0.61948462061866461</v>
      </c>
      <c r="R51" s="87">
        <f t="shared" si="45"/>
        <v>0.61047416606691551</v>
      </c>
      <c r="S51" s="87">
        <f t="shared" si="45"/>
        <v>0.62007420187184148</v>
      </c>
      <c r="T51" s="86">
        <f t="shared" si="45"/>
        <v>0.61569343680037703</v>
      </c>
      <c r="U51" s="87">
        <f t="shared" si="45"/>
        <v>0.60979741061246395</v>
      </c>
      <c r="V51" s="87">
        <f t="shared" si="45"/>
        <v>0.5991528155071596</v>
      </c>
      <c r="W51" s="87">
        <f t="shared" si="45"/>
        <v>0.58169521077645603</v>
      </c>
      <c r="X51" s="87">
        <f t="shared" si="45"/>
        <v>0.58754204431663548</v>
      </c>
      <c r="Y51" s="86">
        <f t="shared" si="45"/>
        <v>0.59363323922468103</v>
      </c>
      <c r="Z51" s="87">
        <f t="shared" si="45"/>
        <v>0.58790598290598295</v>
      </c>
      <c r="AA51" s="100">
        <v>0.58799999999999997</v>
      </c>
      <c r="AB51" s="100">
        <v>0.58799999999999997</v>
      </c>
      <c r="AC51" s="100">
        <v>0.58799999999999997</v>
      </c>
      <c r="AD51" s="100">
        <v>0.58799999999999997</v>
      </c>
      <c r="AE51" s="100">
        <v>0.58799999999999997</v>
      </c>
      <c r="AF51" s="100">
        <v>0.58799999999999997</v>
      </c>
      <c r="AG51" s="100">
        <v>0.58799999999999997</v>
      </c>
      <c r="AH51" s="100">
        <v>0.58799999999999997</v>
      </c>
      <c r="AI51" s="100">
        <v>0.58799999999999997</v>
      </c>
      <c r="AJ51" s="1"/>
      <c r="AK51" s="1"/>
      <c r="AL51" s="1"/>
      <c r="AM51" s="1"/>
      <c r="AN51" s="1"/>
      <c r="AO51" s="92"/>
      <c r="AP51" s="2"/>
      <c r="AQ51" s="2"/>
      <c r="AR51" s="2"/>
      <c r="AS51" s="148"/>
      <c r="AT51" s="148"/>
      <c r="AU51" s="92"/>
      <c r="AV51" s="2"/>
      <c r="AW51" s="2"/>
      <c r="AX51" s="2"/>
      <c r="AY51" s="148"/>
      <c r="AZ51" s="148"/>
      <c r="BA51" s="92"/>
    </row>
    <row r="52" spans="1:55" ht="19.5" customHeight="1">
      <c r="A52" s="93"/>
      <c r="B52" s="129"/>
      <c r="C52" s="84"/>
      <c r="D52" s="85"/>
      <c r="E52" s="85"/>
      <c r="F52" s="132"/>
      <c r="G52" s="132"/>
      <c r="H52" s="132"/>
      <c r="I52" s="132"/>
      <c r="J52" s="85"/>
      <c r="K52" s="132"/>
      <c r="L52" s="132"/>
      <c r="M52" s="132"/>
      <c r="N52" s="132"/>
      <c r="O52" s="134"/>
      <c r="P52" s="135"/>
      <c r="Q52" s="135"/>
      <c r="R52" s="135"/>
      <c r="S52" s="135"/>
      <c r="T52" s="134"/>
      <c r="U52" s="135"/>
      <c r="V52" s="135"/>
      <c r="W52" s="135"/>
      <c r="X52" s="135"/>
      <c r="Y52" s="134"/>
      <c r="Z52" s="135"/>
      <c r="AA52" s="88"/>
      <c r="AB52" s="88"/>
      <c r="AC52" s="88"/>
      <c r="AD52" s="88"/>
      <c r="AE52" s="88"/>
      <c r="AF52" s="88"/>
      <c r="AG52" s="88"/>
      <c r="AH52" s="88"/>
      <c r="AI52" s="88"/>
      <c r="AJ52" s="1"/>
      <c r="AK52" s="1"/>
      <c r="AL52" s="1"/>
      <c r="AM52" s="1"/>
      <c r="AN52" s="1"/>
      <c r="AO52" s="92"/>
      <c r="AP52" s="2"/>
      <c r="AQ52" s="2"/>
      <c r="AR52" s="2"/>
      <c r="AS52" s="148"/>
      <c r="AT52" s="148"/>
      <c r="AU52" s="92"/>
      <c r="AV52" s="2"/>
      <c r="AW52" s="2"/>
      <c r="AX52" s="2"/>
      <c r="AY52" s="148"/>
      <c r="AZ52" s="148"/>
      <c r="BA52" s="92"/>
    </row>
    <row r="53" spans="1:55" ht="19.5" customHeight="1">
      <c r="A53" s="93"/>
      <c r="B53" s="99" t="s">
        <v>118</v>
      </c>
      <c r="C53" s="84"/>
      <c r="D53" s="125">
        <f>'Income Statement'!D12</f>
        <v>56571</v>
      </c>
      <c r="E53" s="125">
        <f>'Income Statement'!E12</f>
        <v>67984</v>
      </c>
      <c r="F53" s="126">
        <f>'Q - Build Up'!C27</f>
        <v>18318</v>
      </c>
      <c r="G53" s="126">
        <f>'Q - Build Up'!D27</f>
        <v>20128</v>
      </c>
      <c r="H53" s="126">
        <f>'Q - Build Up'!E27</f>
        <v>20799</v>
      </c>
      <c r="I53" s="126">
        <f>'Q - Build Up'!F27</f>
        <v>22546</v>
      </c>
      <c r="J53" s="125">
        <f>'Income Statement'!J12</f>
        <v>81791</v>
      </c>
      <c r="K53" s="126">
        <f>'Q - Build Up'!H27</f>
        <v>21760</v>
      </c>
      <c r="L53" s="126">
        <f>'Q - Build Up'!I27</f>
        <v>20850</v>
      </c>
      <c r="M53" s="126">
        <f>'Q - Build Up'!J27</f>
        <v>22121</v>
      </c>
      <c r="N53" s="126">
        <f>'Q - Build Up'!K27</f>
        <v>25038</v>
      </c>
      <c r="O53" s="125">
        <f>'Income Statement'!O12</f>
        <v>89769</v>
      </c>
      <c r="P53" s="126">
        <f>'Q - Build Up'!M27</f>
        <v>21355</v>
      </c>
      <c r="Q53" s="126">
        <f>'Q - Build Up'!N27</f>
        <v>21810</v>
      </c>
      <c r="R53" s="126">
        <f>'Q - Build Up'!O27</f>
        <v>23273</v>
      </c>
      <c r="S53" s="126">
        <f>'Q - Build Up'!P27</f>
        <v>24884</v>
      </c>
      <c r="T53" s="125">
        <f>'Income Statement'!T12</f>
        <v>91322</v>
      </c>
      <c r="U53" s="126">
        <f>'Q - Build Up'!R27</f>
        <v>23267</v>
      </c>
      <c r="V53" s="126">
        <f>'Q - Build Up'!S27</f>
        <v>26118</v>
      </c>
      <c r="W53" s="126">
        <f>'Q - Build Up'!T27</f>
        <v>29749</v>
      </c>
      <c r="X53" s="126">
        <f>'Q - Build Up'!U27</f>
        <v>32128</v>
      </c>
      <c r="Y53" s="125">
        <f>'Income Statement'!Y12</f>
        <v>111262</v>
      </c>
      <c r="Z53" s="126">
        <f>'Q - Build Up'!W27</f>
        <v>28929</v>
      </c>
      <c r="AA53" s="127">
        <f>AA54*AA48</f>
        <v>30361.78065239828</v>
      </c>
      <c r="AB53" s="127">
        <f t="shared" ref="AB53:AE53" si="46">AB54*AB48</f>
        <v>34309.899266437104</v>
      </c>
      <c r="AC53" s="127">
        <f t="shared" si="46"/>
        <v>39018.897037862385</v>
      </c>
      <c r="AD53" s="128">
        <f>SUM(Z53:AC53)</f>
        <v>132619.57695669777</v>
      </c>
      <c r="AE53" s="127">
        <f t="shared" si="46"/>
        <v>159299.446123712</v>
      </c>
      <c r="AF53" s="127">
        <f t="shared" ref="AF53" si="47">AF54*AF48</f>
        <v>185923.4424140401</v>
      </c>
      <c r="AG53" s="127">
        <f t="shared" ref="AG53" si="48">AG54*AG48</f>
        <v>210027.70971999393</v>
      </c>
      <c r="AH53" s="127">
        <f t="shared" ref="AH53" si="49">AH54*AH48</f>
        <v>235477.5139408356</v>
      </c>
      <c r="AI53" s="127">
        <f t="shared" ref="AI53" si="50">AI54*AI48</f>
        <v>258387.29981690957</v>
      </c>
      <c r="AJ53" s="1"/>
      <c r="AK53" s="1"/>
      <c r="AL53" s="1"/>
      <c r="AM53" s="1"/>
      <c r="AN53" s="1"/>
      <c r="AO53" s="92"/>
      <c r="AP53" s="753"/>
      <c r="AQ53" s="753"/>
      <c r="AR53" s="753"/>
      <c r="AS53" s="148"/>
      <c r="AT53" s="148"/>
      <c r="AU53" s="92"/>
      <c r="AV53" s="753"/>
      <c r="AW53" s="753"/>
      <c r="AX53" s="753"/>
      <c r="AY53" s="148"/>
      <c r="AZ53" s="148"/>
      <c r="BA53" s="92"/>
    </row>
    <row r="54" spans="1:55" ht="19.5" customHeight="1">
      <c r="A54" s="93"/>
      <c r="B54" s="129"/>
      <c r="C54" s="129" t="s">
        <v>240</v>
      </c>
      <c r="D54" s="86">
        <f t="shared" ref="D54:Z54" si="51">D53/D48</f>
        <v>0.40035243413091015</v>
      </c>
      <c r="E54" s="86">
        <f t="shared" si="51"/>
        <v>0.37996233016437236</v>
      </c>
      <c r="F54" s="87">
        <f t="shared" si="51"/>
        <v>0.38228603627105201</v>
      </c>
      <c r="G54" s="87">
        <f t="shared" si="51"/>
        <v>0.40070074852683546</v>
      </c>
      <c r="H54" s="87">
        <f t="shared" si="51"/>
        <v>0.4003117962930885</v>
      </c>
      <c r="I54" s="87">
        <f t="shared" si="51"/>
        <v>0.3894762299613046</v>
      </c>
      <c r="J54" s="86">
        <f t="shared" si="51"/>
        <v>0.39323730492225739</v>
      </c>
      <c r="K54" s="87">
        <f t="shared" si="51"/>
        <v>0.41548919269838847</v>
      </c>
      <c r="L54" s="87">
        <f t="shared" si="51"/>
        <v>0.39514081037031423</v>
      </c>
      <c r="M54" s="87">
        <f t="shared" si="51"/>
        <v>0.39965672990063233</v>
      </c>
      <c r="N54" s="87">
        <f t="shared" si="51"/>
        <v>0.39988500790570647</v>
      </c>
      <c r="O54" s="86">
        <f t="shared" si="51"/>
        <v>0.40236933048260654</v>
      </c>
      <c r="P54" s="87">
        <f t="shared" si="51"/>
        <v>0.38780031597871684</v>
      </c>
      <c r="Q54" s="87">
        <f t="shared" si="51"/>
        <v>0.38051537938133539</v>
      </c>
      <c r="R54" s="87">
        <f t="shared" si="51"/>
        <v>0.38952583393308449</v>
      </c>
      <c r="S54" s="87">
        <f t="shared" si="51"/>
        <v>0.37992579812815852</v>
      </c>
      <c r="T54" s="86">
        <f t="shared" si="51"/>
        <v>0.38430656319962292</v>
      </c>
      <c r="U54" s="87">
        <f t="shared" si="51"/>
        <v>0.39020258938753605</v>
      </c>
      <c r="V54" s="87">
        <f t="shared" si="51"/>
        <v>0.40084718449284035</v>
      </c>
      <c r="W54" s="87">
        <f t="shared" si="51"/>
        <v>0.41830478922354397</v>
      </c>
      <c r="X54" s="87">
        <f t="shared" si="51"/>
        <v>0.41245795568336457</v>
      </c>
      <c r="Y54" s="86">
        <f t="shared" si="51"/>
        <v>0.40636676077531891</v>
      </c>
      <c r="Z54" s="87">
        <f t="shared" si="51"/>
        <v>0.41209401709401711</v>
      </c>
      <c r="AA54" s="100">
        <v>0.41199999999999998</v>
      </c>
      <c r="AB54" s="100">
        <v>0.41199999999999998</v>
      </c>
      <c r="AC54" s="100">
        <v>0.41199999999999998</v>
      </c>
      <c r="AD54" s="102"/>
      <c r="AE54" s="102">
        <v>0.40600000000000003</v>
      </c>
      <c r="AF54" s="102">
        <v>0.40600000000000003</v>
      </c>
      <c r="AG54" s="102">
        <v>0.40600000000000003</v>
      </c>
      <c r="AH54" s="102">
        <v>0.40600000000000003</v>
      </c>
      <c r="AI54" s="102">
        <v>0.40600000000000003</v>
      </c>
      <c r="AJ54" s="1"/>
      <c r="AK54" s="1"/>
      <c r="AL54" s="1"/>
      <c r="AM54" s="148"/>
      <c r="AN54" s="148"/>
      <c r="AO54" s="92"/>
      <c r="AP54" s="2"/>
      <c r="AQ54" s="2"/>
      <c r="AR54" s="2"/>
      <c r="AS54" s="148"/>
      <c r="AT54" s="148"/>
      <c r="AU54" s="92"/>
      <c r="AV54" s="2"/>
      <c r="AW54" s="2"/>
      <c r="AX54" s="2"/>
      <c r="AY54" s="148"/>
      <c r="AZ54" s="148"/>
      <c r="BA54" s="92"/>
    </row>
    <row r="55" spans="1:55" ht="18.75" customHeight="1">
      <c r="A55" s="83"/>
      <c r="B55" s="84"/>
      <c r="C55" s="84"/>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32"/>
      <c r="AB55" s="132"/>
      <c r="AC55" s="132"/>
      <c r="AD55" s="132"/>
      <c r="AE55" s="132"/>
      <c r="AF55" s="132"/>
      <c r="AG55" s="132"/>
      <c r="AH55" s="132"/>
      <c r="AJ55" s="1"/>
      <c r="AK55" s="1"/>
      <c r="AL55" s="1"/>
      <c r="AM55" s="148"/>
      <c r="AN55" s="148"/>
      <c r="AO55" s="92"/>
      <c r="AP55" s="753"/>
      <c r="AQ55" s="753"/>
      <c r="AR55" s="753"/>
      <c r="AS55" s="148"/>
      <c r="AT55" s="148"/>
      <c r="AU55" s="92"/>
      <c r="AV55" s="753"/>
      <c r="AW55" s="753"/>
      <c r="AX55" s="753"/>
      <c r="AY55" s="148"/>
      <c r="AZ55" s="148"/>
      <c r="BA55" s="92"/>
    </row>
    <row r="56" spans="1:55" ht="18.75" customHeight="1">
      <c r="A56" s="93"/>
      <c r="B56" s="84"/>
      <c r="C56" s="84"/>
      <c r="D56" s="132"/>
      <c r="E56" s="132"/>
      <c r="F56" s="132"/>
      <c r="G56" s="132"/>
      <c r="H56" s="132"/>
      <c r="I56" s="132"/>
      <c r="J56" s="132"/>
      <c r="K56" s="132"/>
      <c r="L56" s="132"/>
      <c r="M56" s="132"/>
      <c r="N56" s="132"/>
      <c r="O56" s="135"/>
      <c r="P56" s="135"/>
      <c r="Q56" s="135"/>
      <c r="R56" s="135"/>
      <c r="S56" s="135"/>
      <c r="T56" s="135"/>
      <c r="U56" s="135"/>
      <c r="V56" s="135"/>
      <c r="W56" s="135"/>
      <c r="X56" s="135"/>
      <c r="Y56" s="135"/>
      <c r="Z56" s="135"/>
      <c r="AA56" s="132"/>
      <c r="AB56" s="132"/>
      <c r="AC56" s="132"/>
      <c r="AD56" s="132"/>
      <c r="AE56" s="132"/>
      <c r="AF56" s="132"/>
      <c r="AG56" s="132"/>
      <c r="AH56" s="132"/>
      <c r="AJ56" s="1"/>
      <c r="AK56" s="149"/>
      <c r="AL56" s="1"/>
      <c r="AM56" s="148"/>
      <c r="AN56" s="148"/>
      <c r="AO56" s="92"/>
      <c r="AP56" s="2"/>
      <c r="AQ56" s="2"/>
      <c r="AR56" s="2"/>
      <c r="AS56" s="148"/>
      <c r="AT56" s="148"/>
      <c r="AU56" s="92"/>
      <c r="AV56" s="2"/>
      <c r="AW56" s="2"/>
      <c r="AX56" s="2"/>
      <c r="AY56" s="148"/>
      <c r="AZ56" s="148"/>
      <c r="BA56" s="92"/>
    </row>
    <row r="57" spans="1:55" ht="19.5" customHeight="1">
      <c r="A57" s="93"/>
      <c r="B57" s="84"/>
      <c r="C57" s="84"/>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2"/>
      <c r="AB57" s="132"/>
      <c r="AC57" s="132"/>
      <c r="AD57" s="132"/>
      <c r="AE57" s="132"/>
      <c r="AF57" s="132"/>
      <c r="AG57" s="132"/>
      <c r="AH57" s="132"/>
      <c r="AJ57" s="1"/>
      <c r="AK57" s="149"/>
      <c r="AL57" s="1"/>
      <c r="AM57" s="148"/>
      <c r="AN57" s="148"/>
      <c r="AO57" s="92"/>
      <c r="AP57" s="753"/>
      <c r="AQ57" s="753"/>
      <c r="AR57" s="753"/>
      <c r="AS57" s="148"/>
      <c r="AT57" s="148"/>
      <c r="AU57" s="92"/>
      <c r="AV57" s="753"/>
      <c r="AW57" s="753"/>
      <c r="AX57" s="753"/>
      <c r="AY57" s="148"/>
      <c r="AZ57" s="148"/>
      <c r="BA57" s="92"/>
    </row>
    <row r="58" spans="1:55" ht="15.75" customHeight="1">
      <c r="A58" s="150"/>
      <c r="B58" s="150"/>
      <c r="C58" s="150"/>
      <c r="D58" s="132"/>
      <c r="E58" s="132"/>
      <c r="F58" s="132"/>
      <c r="G58" s="132"/>
      <c r="H58" s="132"/>
      <c r="I58" s="132"/>
      <c r="J58" s="132"/>
      <c r="K58" s="132"/>
      <c r="L58" s="132"/>
      <c r="M58" s="132"/>
      <c r="N58" s="132"/>
      <c r="O58" s="135"/>
      <c r="P58" s="135"/>
      <c r="Q58" s="135"/>
      <c r="R58" s="135"/>
      <c r="S58" s="135"/>
      <c r="T58" s="135"/>
      <c r="U58" s="135"/>
      <c r="V58" s="135"/>
      <c r="W58" s="135"/>
      <c r="X58" s="135"/>
      <c r="Y58" s="135"/>
      <c r="Z58" s="135"/>
      <c r="AA58" s="132"/>
      <c r="AB58" s="132"/>
      <c r="AC58" s="132"/>
      <c r="AD58" s="132"/>
      <c r="AE58" s="132"/>
      <c r="AF58" s="132"/>
      <c r="AG58" s="132"/>
      <c r="AH58" s="132"/>
      <c r="AK58" s="1"/>
      <c r="AL58" s="1"/>
      <c r="AM58" s="1"/>
      <c r="AN58" s="1"/>
    </row>
    <row r="59" spans="1:55" ht="15.75" customHeight="1">
      <c r="A59" s="151"/>
      <c r="B59" s="150"/>
      <c r="C59" s="150"/>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32"/>
      <c r="AB59" s="132"/>
      <c r="AC59" s="132"/>
      <c r="AD59" s="132"/>
      <c r="AE59" s="132"/>
      <c r="AF59" s="132"/>
      <c r="AG59" s="132"/>
      <c r="AH59" s="132"/>
      <c r="AK59" s="1"/>
      <c r="AL59" s="1"/>
      <c r="AM59" s="1"/>
      <c r="AN59" s="1"/>
    </row>
    <row r="60" spans="1:55" ht="18.75" customHeight="1">
      <c r="A60" s="152"/>
      <c r="B60" s="152"/>
      <c r="C60" s="152"/>
      <c r="O60" s="153"/>
      <c r="P60" s="153"/>
      <c r="Q60" s="153"/>
      <c r="R60" s="153"/>
      <c r="S60" s="153"/>
      <c r="AJ60" s="1"/>
      <c r="AK60" s="1"/>
      <c r="AL60" s="1"/>
      <c r="AM60" s="1"/>
      <c r="AN60" s="1"/>
      <c r="AO60" s="92"/>
      <c r="AP60" s="753"/>
      <c r="AQ60" s="753"/>
      <c r="AR60" s="753"/>
      <c r="AS60" s="90"/>
      <c r="AT60" s="91"/>
      <c r="AU60" s="92"/>
      <c r="AV60" s="753"/>
      <c r="AW60" s="753"/>
      <c r="AX60" s="753"/>
      <c r="AY60" s="90"/>
      <c r="AZ60" s="91"/>
      <c r="BA60" s="92"/>
    </row>
    <row r="61" spans="1:55" ht="15" customHeight="1">
      <c r="AK61" s="1"/>
      <c r="AL61" s="1"/>
      <c r="AM61" s="1"/>
      <c r="AN61" s="1"/>
    </row>
  </sheetData>
  <mergeCells count="9">
    <mergeCell ref="AP57:AR57"/>
    <mergeCell ref="AV57:AX57"/>
    <mergeCell ref="AP60:AR60"/>
    <mergeCell ref="AV60:AX60"/>
    <mergeCell ref="A5:C5"/>
    <mergeCell ref="AP53:AR53"/>
    <mergeCell ref="AV53:AX53"/>
    <mergeCell ref="AP55:AR55"/>
    <mergeCell ref="AV55:AX55"/>
  </mergeCell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1141A"/>
  </sheetPr>
  <dimension ref="A1:X42"/>
  <sheetViews>
    <sheetView showGridLines="0" topLeftCell="A5" zoomScaleNormal="100" workbookViewId="0">
      <selection activeCell="R2" sqref="R2"/>
    </sheetView>
  </sheetViews>
  <sheetFormatPr defaultColWidth="9.75" defaultRowHeight="12.75"/>
  <cols>
    <col min="1" max="1" width="10" style="152" customWidth="1"/>
    <col min="2" max="2" width="3.125" style="152" customWidth="1"/>
    <col min="3" max="3" width="0.375" style="152" customWidth="1"/>
    <col min="4" max="4" width="31.625" style="152" bestFit="1" customWidth="1"/>
    <col min="5" max="5" width="11.75" style="152" customWidth="1"/>
    <col min="6" max="6" width="9.75" style="152"/>
    <col min="7" max="7" width="13.375" style="152" customWidth="1"/>
    <col min="8" max="8" width="9.75" style="152"/>
    <col min="9" max="9" width="45.375" style="152" customWidth="1"/>
    <col min="10" max="15" width="12.25" style="152" customWidth="1"/>
    <col min="16" max="16" width="15.125" style="152" customWidth="1"/>
    <col min="17" max="17" width="10.625" style="152" customWidth="1"/>
    <col min="18" max="18" width="14" style="152" customWidth="1"/>
    <col min="19" max="16384" width="9.75" style="152"/>
  </cols>
  <sheetData>
    <row r="1" spans="4:24" ht="15" customHeight="1">
      <c r="D1" s="409" t="e" vm="1">
        <v>#VALUE!</v>
      </c>
      <c r="E1" s="410"/>
      <c r="F1" s="200"/>
      <c r="G1" s="411"/>
      <c r="H1" s="407"/>
      <c r="J1" s="408"/>
      <c r="K1" s="408"/>
      <c r="L1" s="408"/>
      <c r="M1" s="408"/>
      <c r="N1" s="408"/>
      <c r="O1" s="408"/>
      <c r="P1" s="408"/>
      <c r="Q1" s="408"/>
    </row>
    <row r="2" spans="4:24" ht="15.75" customHeight="1">
      <c r="D2" s="409" t="s">
        <v>241</v>
      </c>
      <c r="E2" s="410">
        <f ca="1">TODAY()</f>
        <v>46248</v>
      </c>
      <c r="F2" s="200"/>
      <c r="G2" s="411"/>
      <c r="H2" s="412"/>
      <c r="J2" s="408"/>
      <c r="K2" s="408"/>
      <c r="L2" s="408"/>
      <c r="M2" s="408"/>
      <c r="N2" s="408"/>
      <c r="O2" s="408"/>
      <c r="P2" s="408"/>
      <c r="Q2" s="408"/>
    </row>
    <row r="3" spans="4:24" ht="15.75" customHeight="1">
      <c r="D3" s="413"/>
      <c r="E3" s="413"/>
      <c r="F3" s="413"/>
      <c r="G3" s="413"/>
      <c r="I3" s="414" t="s">
        <v>242</v>
      </c>
      <c r="J3" s="415" t="s">
        <v>243</v>
      </c>
      <c r="K3" s="415" t="s">
        <v>244</v>
      </c>
      <c r="L3" s="415" t="s">
        <v>245</v>
      </c>
      <c r="M3" s="415" t="s">
        <v>246</v>
      </c>
      <c r="N3" s="415" t="s">
        <v>247</v>
      </c>
      <c r="O3" s="415" t="s">
        <v>248</v>
      </c>
      <c r="P3" s="416"/>
      <c r="Q3" s="408"/>
      <c r="R3" s="671">
        <f ca="1">G18</f>
        <v>-0.3543680100797223</v>
      </c>
      <c r="S3" s="672">
        <v>9.4549999999999981E-2</v>
      </c>
      <c r="T3" s="672">
        <v>9.9549999999999986E-2</v>
      </c>
      <c r="U3" s="672">
        <v>0.10454999999999999</v>
      </c>
      <c r="V3" s="672">
        <v>0.10954999999999999</v>
      </c>
      <c r="W3" s="672">
        <v>0.11455</v>
      </c>
    </row>
    <row r="4" spans="4:24" ht="15.75" customHeight="1">
      <c r="D4" s="417" t="s">
        <v>249</v>
      </c>
      <c r="E4" s="418"/>
      <c r="F4" s="418"/>
      <c r="G4" s="419" cm="1">
        <f t="array" aca="1" ref="G4" ca="1">_FV(D1,"price")</f>
        <v>346.36</v>
      </c>
      <c r="H4" s="420"/>
      <c r="I4" s="421" t="s">
        <v>250</v>
      </c>
      <c r="J4" s="422">
        <f>'Income Statement'!AA6+'Income Statement'!AB6+'Income Statement'!AC6</f>
        <v>407753.07032037876</v>
      </c>
      <c r="K4" s="422">
        <f>'Income Statement'!AE6</f>
        <v>632924.59221626155</v>
      </c>
      <c r="L4" s="422">
        <f>'Income Statement'!AF6</f>
        <v>749787.04113286035</v>
      </c>
      <c r="M4" s="422">
        <f>'Income Statement'!AG6</f>
        <v>860924.23274749389</v>
      </c>
      <c r="N4" s="422">
        <f>'Income Statement'!AH6</f>
        <v>969031.62869556004</v>
      </c>
      <c r="O4" s="422">
        <f>'Income Statement'!AI6</f>
        <v>1067907.8860664896</v>
      </c>
      <c r="P4" s="423"/>
      <c r="Q4" s="595"/>
      <c r="R4" s="673">
        <v>6.0000000000000005E-2</v>
      </c>
      <c r="S4" s="674"/>
      <c r="T4" s="674"/>
      <c r="U4" s="674"/>
      <c r="V4" s="674"/>
      <c r="W4" s="674"/>
    </row>
    <row r="5" spans="4:24" ht="15.75" customHeight="1">
      <c r="D5" s="424" t="s">
        <v>251</v>
      </c>
      <c r="G5" s="425" cm="1">
        <f t="array" aca="1" ref="G5" ca="1">_FV(D1,"Shares outstanding",TRUE)/1000000</f>
        <v>12230</v>
      </c>
      <c r="I5" s="426" t="s">
        <v>252</v>
      </c>
      <c r="J5" s="427"/>
      <c r="K5" s="427"/>
      <c r="L5" s="427">
        <f>L4/K4</f>
        <v>1.1846388185161061</v>
      </c>
      <c r="M5" s="427">
        <f t="shared" ref="M5:O5" si="0">M4/L4</f>
        <v>1.1482250099264391</v>
      </c>
      <c r="N5" s="427">
        <f t="shared" si="0"/>
        <v>1.1255713242070788</v>
      </c>
      <c r="O5" s="427">
        <f t="shared" si="0"/>
        <v>1.102036150774593</v>
      </c>
      <c r="P5" s="428"/>
      <c r="Q5" s="483"/>
      <c r="R5" s="675">
        <v>6.5000000000000002E-2</v>
      </c>
      <c r="S5" s="674"/>
      <c r="T5" s="674"/>
      <c r="U5" s="674"/>
      <c r="V5" s="674"/>
      <c r="W5" s="674"/>
    </row>
    <row r="6" spans="4:24" ht="15.75" customHeight="1">
      <c r="D6" s="429" t="s">
        <v>253</v>
      </c>
      <c r="E6" s="430"/>
      <c r="F6" s="430"/>
      <c r="G6" s="431">
        <f>'Debt Schedule'!V9-BS!V9</f>
        <v>-213753</v>
      </c>
      <c r="J6" s="432"/>
      <c r="K6" s="432"/>
      <c r="L6" s="432"/>
      <c r="M6" s="432"/>
      <c r="N6" s="432"/>
      <c r="O6" s="432"/>
      <c r="P6" s="408"/>
      <c r="Q6" s="408"/>
      <c r="R6" s="675">
        <v>7.0000000000000007E-2</v>
      </c>
      <c r="S6" s="674"/>
      <c r="T6" s="674"/>
      <c r="U6" s="674"/>
      <c r="V6" s="674"/>
      <c r="W6" s="674"/>
    </row>
    <row r="7" spans="4:24" ht="15.75" customHeight="1">
      <c r="H7" s="407"/>
      <c r="I7" s="421" t="s">
        <v>69</v>
      </c>
      <c r="J7" s="422">
        <f>'Income Statement'!AA17+'Income Statement'!AB17+'Income Statement'!AC17</f>
        <v>156076.91265849097</v>
      </c>
      <c r="K7" s="422">
        <f>'Income Statement'!AE17</f>
        <v>240561.42442386752</v>
      </c>
      <c r="L7" s="422">
        <f>'Income Statement'!AF17</f>
        <v>291847.52779778629</v>
      </c>
      <c r="M7" s="422">
        <f>'Income Statement'!AG17</f>
        <v>343614.6028952921</v>
      </c>
      <c r="N7" s="422">
        <f>'Income Statement'!AH17</f>
        <v>389037.75199399464</v>
      </c>
      <c r="O7" s="422">
        <f>'Income Statement'!AI17</f>
        <v>431485.96533518529</v>
      </c>
      <c r="P7" s="423"/>
      <c r="Q7" s="408"/>
      <c r="R7" s="675">
        <v>7.5000000000000011E-2</v>
      </c>
      <c r="S7" s="674"/>
      <c r="T7" s="674"/>
      <c r="U7" s="674"/>
      <c r="V7" s="674"/>
      <c r="W7" s="674"/>
    </row>
    <row r="8" spans="4:24" ht="15.75" customHeight="1">
      <c r="D8" s="433" t="s">
        <v>254</v>
      </c>
      <c r="E8" s="433"/>
      <c r="F8" s="433"/>
      <c r="G8" s="433"/>
      <c r="I8" s="434" t="s">
        <v>255</v>
      </c>
      <c r="J8" s="592">
        <f>'Income Statement'!AD28</f>
        <v>0.19162403761690694</v>
      </c>
      <c r="K8" s="592">
        <f>'Income Statement'!AE28</f>
        <v>0.19162403761690694</v>
      </c>
      <c r="L8" s="592">
        <f>'Income Statement'!AF28</f>
        <v>0.19162403761690694</v>
      </c>
      <c r="M8" s="592">
        <f>'Income Statement'!AG28</f>
        <v>0.19162403761690694</v>
      </c>
      <c r="N8" s="592">
        <f>'Income Statement'!AH28</f>
        <v>0.19162403761690694</v>
      </c>
      <c r="O8" s="592">
        <f>'Income Statement'!AI28</f>
        <v>0.19162403761690694</v>
      </c>
      <c r="P8" s="423"/>
      <c r="Q8" s="408"/>
      <c r="R8" s="675">
        <v>8.0000000000000016E-2</v>
      </c>
      <c r="S8" s="674"/>
      <c r="T8" s="674"/>
      <c r="U8" s="674"/>
      <c r="V8" s="674"/>
      <c r="W8" s="674"/>
    </row>
    <row r="9" spans="4:24" ht="15.75" customHeight="1">
      <c r="D9" s="417" t="s">
        <v>256</v>
      </c>
      <c r="E9" s="418"/>
      <c r="F9" s="418"/>
      <c r="G9" s="436">
        <f ca="1">G14/G5</f>
        <v>251.04978800732977</v>
      </c>
      <c r="H9" s="437"/>
      <c r="I9" s="421" t="s">
        <v>257</v>
      </c>
      <c r="J9" s="422">
        <f>J7*(1-J8)</f>
        <v>126168.82447608959</v>
      </c>
      <c r="K9" s="422">
        <f>K7*(1-K8)</f>
        <v>194464.07298089162</v>
      </c>
      <c r="L9" s="422">
        <f>L7*(1-L8)</f>
        <v>235922.526152662</v>
      </c>
      <c r="M9" s="422">
        <f t="shared" ref="K9:O9" si="1">M7*(1-M8)</f>
        <v>277769.78530436609</v>
      </c>
      <c r="N9" s="422">
        <f t="shared" si="1"/>
        <v>314488.76717150048</v>
      </c>
      <c r="O9" s="422">
        <f t="shared" si="1"/>
        <v>348802.88248262834</v>
      </c>
      <c r="P9" s="423"/>
      <c r="Q9" s="408"/>
      <c r="R9" s="674"/>
      <c r="S9" s="674"/>
      <c r="T9" s="674"/>
      <c r="U9" s="674"/>
      <c r="V9" s="674"/>
      <c r="W9" s="674"/>
    </row>
    <row r="10" spans="4:24" ht="15.75" customHeight="1">
      <c r="D10" s="438" t="s">
        <v>258</v>
      </c>
      <c r="G10" s="439">
        <f ca="1">G9/G4-1</f>
        <v>-0.27517672939331983</v>
      </c>
      <c r="H10" s="440"/>
      <c r="I10" s="441" t="s">
        <v>208</v>
      </c>
      <c r="J10" s="422">
        <f>'CFS - Estimates'!W9+'CFS - Estimates'!X9+'CFS - Estimates'!Y9</f>
        <v>20387.653516018941</v>
      </c>
      <c r="K10" s="422">
        <f>'CFS - Estimates'!AA9</f>
        <v>31646.229610813079</v>
      </c>
      <c r="L10" s="422">
        <f>'CFS - Estimates'!AB9</f>
        <v>37489.352056643016</v>
      </c>
      <c r="M10" s="422">
        <f>'CFS - Estimates'!AC9</f>
        <v>43046.211637374698</v>
      </c>
      <c r="N10" s="422">
        <f>'CFS - Estimates'!AD9</f>
        <v>48451.581434778003</v>
      </c>
      <c r="O10" s="422">
        <f>'CFS - Estimates'!AE9</f>
        <v>53395.394303324487</v>
      </c>
      <c r="P10" s="423"/>
      <c r="Q10" s="408"/>
      <c r="R10" s="671">
        <f ca="1">G18</f>
        <v>-0.3543680100797223</v>
      </c>
      <c r="S10" s="676"/>
      <c r="T10" s="676"/>
      <c r="U10" s="676"/>
      <c r="V10" s="676"/>
      <c r="W10" s="676"/>
      <c r="X10" s="152" t="s">
        <v>259</v>
      </c>
    </row>
    <row r="11" spans="4:24" ht="16.5" customHeight="1">
      <c r="D11" s="442"/>
      <c r="G11" s="443"/>
      <c r="I11" s="441" t="s">
        <v>214</v>
      </c>
      <c r="J11" s="422">
        <f>'CFS - Estimates'!W17+'CFS - Estimates'!X17+'CFS - Estimates'!Y17</f>
        <v>-171788.58606995671</v>
      </c>
      <c r="K11" s="422">
        <f>'CFS - Estimates'!AA17</f>
        <v>-253169.83688650464</v>
      </c>
      <c r="L11" s="422">
        <f>'CFS - Estimates'!AB17</f>
        <v>-262425.46439650113</v>
      </c>
      <c r="M11" s="422">
        <f>'CFS - Estimates'!AC17</f>
        <v>-258277.26982424816</v>
      </c>
      <c r="N11" s="422">
        <f>'CFS - Estimates'!AD17</f>
        <v>-193806.32573911201</v>
      </c>
      <c r="O11" s="422">
        <f>'CFS - Estimates'!AE17</f>
        <v>-160186.18290997343</v>
      </c>
      <c r="P11" s="423"/>
      <c r="Q11" s="408"/>
      <c r="R11" s="673">
        <v>6.0000000000000005E-2</v>
      </c>
      <c r="S11" s="674"/>
      <c r="T11" s="674"/>
      <c r="U11" s="674"/>
      <c r="V11" s="674"/>
      <c r="W11" s="674"/>
    </row>
    <row r="12" spans="4:24" ht="16.5" customHeight="1">
      <c r="D12" s="444"/>
      <c r="G12" s="445"/>
      <c r="H12" s="440"/>
      <c r="I12" s="446" t="s">
        <v>260</v>
      </c>
      <c r="J12" s="422">
        <f>'CFS - Estimates'!W10+'CFS - Estimates'!X10+'CFS - Estimates'!Y10</f>
        <v>-3443.3889834244619</v>
      </c>
      <c r="K12" s="422">
        <f>'CFS - Estimates'!AA10</f>
        <v>913.76000603078865</v>
      </c>
      <c r="L12" s="422">
        <f>'CFS - Estimates'!AB10</f>
        <v>1636.3011523858877</v>
      </c>
      <c r="M12" s="422">
        <f>'CFS - Estimates'!AC10</f>
        <v>519.48721636783739</v>
      </c>
      <c r="N12" s="422">
        <f>'CFS - Estimates'!AD10</f>
        <v>2213.4780542318622</v>
      </c>
      <c r="O12" s="422">
        <f>'CFS - Estimates'!AE10</f>
        <v>1711.5320731015236</v>
      </c>
      <c r="P12" s="447" t="s">
        <v>261</v>
      </c>
      <c r="Q12" s="448"/>
      <c r="R12" s="675">
        <v>6.5000000000000002E-2</v>
      </c>
      <c r="S12" s="674"/>
      <c r="T12" s="674"/>
      <c r="U12" s="674"/>
      <c r="V12" s="677"/>
      <c r="W12" s="674"/>
    </row>
    <row r="13" spans="4:24" ht="15.75" customHeight="1">
      <c r="D13" s="449" t="s">
        <v>262</v>
      </c>
      <c r="E13" s="430"/>
      <c r="F13" s="430"/>
      <c r="G13" s="450">
        <f ca="1">SUM(J19:P19)</f>
        <v>2856585.9073296431</v>
      </c>
      <c r="I13" s="421" t="s">
        <v>263</v>
      </c>
      <c r="J13" s="422">
        <f xml:space="preserve"> SUM(J9:J12)</f>
        <v>-28675.497061272647</v>
      </c>
      <c r="K13" s="422">
        <f t="shared" ref="K13:O13" si="2" xml:space="preserve"> SUM(K9:K12)</f>
        <v>-26145.774288769142</v>
      </c>
      <c r="L13" s="422">
        <f t="shared" si="2"/>
        <v>12622.714965189749</v>
      </c>
      <c r="M13" s="422">
        <f t="shared" si="2"/>
        <v>63058.21433386048</v>
      </c>
      <c r="N13" s="422">
        <f t="shared" si="2"/>
        <v>171347.50092139834</v>
      </c>
      <c r="O13" s="422">
        <f t="shared" si="2"/>
        <v>243723.62594908095</v>
      </c>
      <c r="P13" s="451">
        <f ca="1">G28</f>
        <v>4441192.6525545241</v>
      </c>
      <c r="Q13" s="452"/>
      <c r="R13" s="675">
        <v>7.0000000000000007E-2</v>
      </c>
      <c r="S13" s="674"/>
      <c r="T13" s="674"/>
      <c r="U13" s="674"/>
      <c r="V13" s="678"/>
      <c r="W13" s="674"/>
    </row>
    <row r="14" spans="4:24" ht="15.75" customHeight="1">
      <c r="D14" s="449" t="s">
        <v>264</v>
      </c>
      <c r="E14" s="430"/>
      <c r="F14" s="430"/>
      <c r="G14" s="450">
        <f ca="1">G13-G6</f>
        <v>3070338.9073296431</v>
      </c>
      <c r="I14" s="453" t="s">
        <v>265</v>
      </c>
      <c r="J14" s="454">
        <f ca="1">TODAY()</f>
        <v>46248</v>
      </c>
      <c r="K14" s="454">
        <v>46752</v>
      </c>
      <c r="L14" s="454">
        <v>47118</v>
      </c>
      <c r="M14" s="454">
        <v>47483</v>
      </c>
      <c r="N14" s="454">
        <v>47848</v>
      </c>
      <c r="O14" s="454">
        <v>48213</v>
      </c>
      <c r="P14" s="455"/>
      <c r="Q14" s="408"/>
      <c r="R14" s="675">
        <v>7.5000000000000011E-2</v>
      </c>
      <c r="S14" s="674"/>
      <c r="T14" s="674"/>
      <c r="U14" s="674"/>
      <c r="V14" s="679"/>
      <c r="W14" s="674"/>
    </row>
    <row r="15" spans="4:24" ht="15" customHeight="1">
      <c r="I15" s="453" t="s">
        <v>266</v>
      </c>
      <c r="J15" s="456">
        <v>0.5</v>
      </c>
      <c r="K15" s="456">
        <v>1.5</v>
      </c>
      <c r="L15" s="456">
        <v>2.5</v>
      </c>
      <c r="M15" s="456">
        <v>3.5</v>
      </c>
      <c r="N15" s="456">
        <v>4.5</v>
      </c>
      <c r="O15" s="456">
        <v>5.5</v>
      </c>
      <c r="P15" s="587"/>
      <c r="Q15" s="408"/>
      <c r="R15" s="675">
        <v>8.0000000000000016E-2</v>
      </c>
      <c r="S15" s="674"/>
      <c r="T15" s="674"/>
      <c r="U15" s="674"/>
      <c r="V15" s="679"/>
      <c r="W15" s="674"/>
    </row>
    <row r="16" spans="4:24" ht="15.75" customHeight="1">
      <c r="D16" s="457" t="s">
        <v>267</v>
      </c>
      <c r="E16" s="457"/>
      <c r="F16" s="457"/>
      <c r="G16" s="457"/>
      <c r="I16" s="453" t="s">
        <v>268</v>
      </c>
      <c r="J16" s="458">
        <f ca="1">1/(1+J33)^J15</f>
        <v>0.95223617893168133</v>
      </c>
      <c r="K16" s="458">
        <f ca="1">1/(1+K33)^K15</f>
        <v>0.86361514731339584</v>
      </c>
      <c r="L16" s="458">
        <f ca="1">1/(1+L33)^L15</f>
        <v>0.78341712925489038</v>
      </c>
      <c r="M16" s="458">
        <f t="shared" ref="K16:O16" ca="1" si="3">1/(1+M33)^M15</f>
        <v>0.71077590068119889</v>
      </c>
      <c r="N16" s="458">
        <f t="shared" ca="1" si="3"/>
        <v>0.64491084464684045</v>
      </c>
      <c r="O16" s="458">
        <f t="shared" ca="1" si="3"/>
        <v>0.58512436617385144</v>
      </c>
      <c r="P16" s="459">
        <f ca="1">O16</f>
        <v>0.58512436617385144</v>
      </c>
      <c r="Q16" s="460"/>
      <c r="R16" s="674"/>
      <c r="S16" s="674"/>
      <c r="T16" s="674"/>
      <c r="U16" s="680"/>
      <c r="V16" s="681"/>
      <c r="W16" s="674"/>
    </row>
    <row r="17" spans="1:22" ht="15.75" customHeight="1">
      <c r="D17" s="417" t="s">
        <v>256</v>
      </c>
      <c r="E17" s="418"/>
      <c r="F17" s="418"/>
      <c r="G17" s="436">
        <f ca="1">G21/G5</f>
        <v>223.62109602878741</v>
      </c>
      <c r="I17" s="453" t="s">
        <v>269</v>
      </c>
      <c r="J17" s="456">
        <v>0.5</v>
      </c>
      <c r="K17" s="456">
        <v>1.5</v>
      </c>
      <c r="L17" s="456">
        <v>2.5</v>
      </c>
      <c r="M17" s="456">
        <v>3.5</v>
      </c>
      <c r="N17" s="456">
        <v>4.5</v>
      </c>
      <c r="O17" s="456">
        <v>5.5</v>
      </c>
      <c r="P17" s="459"/>
      <c r="Q17" s="460"/>
      <c r="V17" s="460"/>
    </row>
    <row r="18" spans="1:22" ht="16.5" customHeight="1">
      <c r="D18" s="438" t="s">
        <v>258</v>
      </c>
      <c r="G18" s="439">
        <f ca="1">(G17/G4)-1</f>
        <v>-0.3543680100797223</v>
      </c>
      <c r="I18" s="453" t="s">
        <v>270</v>
      </c>
      <c r="J18" s="458">
        <f>1/(1+J31)^J17</f>
        <v>0.95149675172051829</v>
      </c>
      <c r="K18" s="458">
        <f>1/(1+K31)^K17</f>
        <v>0.86143384339370621</v>
      </c>
      <c r="L18" s="458">
        <f t="shared" ref="K18:P18" si="4">1/(1+L31)^L17</f>
        <v>0.77989574341922618</v>
      </c>
      <c r="M18" s="458">
        <f t="shared" si="4"/>
        <v>0.70607554517154159</v>
      </c>
      <c r="N18" s="458">
        <f t="shared" si="4"/>
        <v>0.63924271890954831</v>
      </c>
      <c r="O18" s="458">
        <f>1/(1+O31)^O17</f>
        <v>0.57873588240419038</v>
      </c>
      <c r="P18" s="682">
        <f>1/(1+O31)^O17</f>
        <v>0.57873588240419038</v>
      </c>
      <c r="Q18" s="460"/>
      <c r="V18" s="460"/>
    </row>
    <row r="19" spans="1:22" ht="16.5" customHeight="1">
      <c r="D19" s="442"/>
      <c r="G19" s="443"/>
      <c r="I19" s="461" t="s">
        <v>271</v>
      </c>
      <c r="J19" s="462">
        <f ca="1">J16*J13</f>
        <v>-27305.845750592922</v>
      </c>
      <c r="K19" s="462">
        <f ca="1">K16*K13</f>
        <v>-22579.886714018161</v>
      </c>
      <c r="L19" s="462">
        <f t="shared" ref="K19:O19" ca="1" si="5">L16*L13</f>
        <v>9888.8511214316968</v>
      </c>
      <c r="M19" s="462">
        <f t="shared" ca="1" si="5"/>
        <v>44820.259088497769</v>
      </c>
      <c r="N19" s="462">
        <f ca="1">N16*N13</f>
        <v>110503.86154734428</v>
      </c>
      <c r="O19" s="462">
        <f ca="1">O16*O13</f>
        <v>142608.63215504884</v>
      </c>
      <c r="P19" s="463">
        <f ca="1">P13*P16</f>
        <v>2598650.0358819319</v>
      </c>
      <c r="Q19" s="452"/>
      <c r="R19" s="464"/>
      <c r="V19" s="452"/>
    </row>
    <row r="20" spans="1:22" ht="16.5" customHeight="1">
      <c r="D20" s="444"/>
      <c r="G20" s="445"/>
      <c r="I20" s="441" t="s">
        <v>272</v>
      </c>
      <c r="J20" s="422">
        <f>'CFS - Estimates'!W22+'CFS - Estimates'!X22+'CFS - Estimates'!Y22</f>
        <v>12216.095125000007</v>
      </c>
      <c r="K20" s="422">
        <f>'CFS - Estimates'!AA22</f>
        <v>8971.7095125000051</v>
      </c>
      <c r="L20" s="422">
        <f>'CFS - Estimates'!AB22</f>
        <v>7895.1043710000085</v>
      </c>
      <c r="M20" s="422">
        <f>'CFS - Estimates'!AC22</f>
        <v>6395.0345405100088</v>
      </c>
      <c r="N20" s="422">
        <f>'CFS - Estimates'!AD22</f>
        <v>4519.1577419604</v>
      </c>
      <c r="O20" s="422">
        <f>'CFS - Estimates'!AE22</f>
        <v>2349.9620258194045</v>
      </c>
      <c r="Q20" s="465"/>
    </row>
    <row r="21" spans="1:22" ht="16.5" customHeight="1">
      <c r="D21" s="466" t="s">
        <v>264</v>
      </c>
      <c r="E21" s="467"/>
      <c r="F21" s="467"/>
      <c r="G21" s="468">
        <f>SUM(J23:P23)</f>
        <v>2734886.0044320701</v>
      </c>
      <c r="I21" s="441" t="s">
        <v>273</v>
      </c>
      <c r="J21" s="422">
        <f>('Income Statement'!AA20+'Income Statement'!AB20+'Income Statement'!AC20)*(1-'Discount Factor'!L6)</f>
        <v>-2029.3119563266359</v>
      </c>
      <c r="K21" s="422">
        <f>'Income Statement'!AE20*(1-'Discount Factor'!L6)</f>
        <v>-3168.7971447395862</v>
      </c>
      <c r="L21" s="422">
        <f>'Income Statement'!AF20*(1-'Discount Factor'!L6)</f>
        <v>-3422.300916318753</v>
      </c>
      <c r="M21" s="422">
        <f>'Income Statement'!AG20*(1-'Discount Factor'!L6)</f>
        <v>-3627.6389712978789</v>
      </c>
      <c r="N21" s="422">
        <f>'Income Statement'!AH20*(1-'Discount Factor'!L6)</f>
        <v>-3772.7445301497937</v>
      </c>
      <c r="O21" s="422">
        <f>'Income Statement'!AI20*(1-'Discount Factor'!L6)</f>
        <v>-3848.19942075279</v>
      </c>
      <c r="P21" s="447" t="s">
        <v>261</v>
      </c>
      <c r="Q21" s="448"/>
      <c r="V21" s="448"/>
    </row>
    <row r="22" spans="1:22" ht="16.5" customHeight="1">
      <c r="I22" s="421" t="s">
        <v>274</v>
      </c>
      <c r="J22" s="435">
        <f>J21+J20+J13</f>
        <v>-18488.713892599277</v>
      </c>
      <c r="K22" s="435">
        <f t="shared" ref="K22:O22" si="6">K21+K20+K13</f>
        <v>-20342.861921008724</v>
      </c>
      <c r="L22" s="435">
        <f t="shared" si="6"/>
        <v>17095.518419871005</v>
      </c>
      <c r="M22" s="435">
        <f t="shared" si="6"/>
        <v>65825.609903072604</v>
      </c>
      <c r="N22" s="435">
        <f>N21+N20+N13</f>
        <v>172093.91413320895</v>
      </c>
      <c r="O22" s="435">
        <f t="shared" si="6"/>
        <v>242225.38855414756</v>
      </c>
      <c r="P22" s="469">
        <f>G32*(1+G34)/(G33-G34)</f>
        <v>4250638.6404548148</v>
      </c>
      <c r="Q22" s="452"/>
      <c r="V22" s="452"/>
    </row>
    <row r="23" spans="1:22" ht="16.5" customHeight="1">
      <c r="D23" s="470" t="s">
        <v>275</v>
      </c>
      <c r="E23" s="470"/>
      <c r="F23" s="470"/>
      <c r="G23" s="470"/>
      <c r="I23" s="461" t="s">
        <v>276</v>
      </c>
      <c r="J23" s="462">
        <f>J22*J18</f>
        <v>-17591.951212298231</v>
      </c>
      <c r="K23" s="462">
        <f t="shared" ref="K23:O23" si="7">K22*K18</f>
        <v>-17524.029730242019</v>
      </c>
      <c r="L23" s="462">
        <f t="shared" si="7"/>
        <v>13332.722047202373</v>
      </c>
      <c r="M23" s="462">
        <f t="shared" si="7"/>
        <v>46477.853398561216</v>
      </c>
      <c r="N23" s="462">
        <f>N22*N18</f>
        <v>110009.78157829883</v>
      </c>
      <c r="O23" s="462">
        <f t="shared" si="7"/>
        <v>140184.52398558246</v>
      </c>
      <c r="P23" s="463">
        <f>P22*P18</f>
        <v>2459997.1043649656</v>
      </c>
      <c r="Q23" s="452"/>
      <c r="V23" s="452"/>
    </row>
    <row r="24" spans="1:22" ht="16.5" customHeight="1">
      <c r="D24" s="471" t="s">
        <v>277</v>
      </c>
      <c r="E24" s="472"/>
      <c r="F24" s="472"/>
      <c r="G24" s="473"/>
      <c r="J24" s="408"/>
      <c r="K24" s="408"/>
      <c r="L24" s="408"/>
      <c r="M24" s="408"/>
      <c r="N24" s="408"/>
      <c r="O24" s="408"/>
      <c r="P24" s="408"/>
      <c r="Q24" s="408"/>
    </row>
    <row r="25" spans="1:22" ht="15.75" customHeight="1">
      <c r="D25" s="474" t="s">
        <v>278</v>
      </c>
      <c r="G25" s="475">
        <f>O13</f>
        <v>243723.62594908095</v>
      </c>
      <c r="I25" s="414" t="s">
        <v>279</v>
      </c>
      <c r="J25" s="415"/>
      <c r="K25" s="415"/>
      <c r="L25" s="415"/>
      <c r="M25" s="415"/>
      <c r="N25" s="415"/>
      <c r="O25" s="415"/>
      <c r="P25" s="416"/>
      <c r="Q25" s="408"/>
    </row>
    <row r="26" spans="1:22" ht="16.5" customHeight="1">
      <c r="D26" s="474" t="s">
        <v>280</v>
      </c>
      <c r="G26" s="476">
        <f ca="1">J33</f>
        <v>0.10283526317258695</v>
      </c>
      <c r="I26" s="189" t="s">
        <v>281</v>
      </c>
      <c r="J26" s="477"/>
      <c r="K26" s="477"/>
      <c r="L26" s="477"/>
      <c r="M26" s="477"/>
      <c r="N26" s="477"/>
      <c r="O26" s="477"/>
      <c r="P26" s="408"/>
      <c r="Q26" s="408"/>
    </row>
    <row r="27" spans="1:22" ht="16.5" customHeight="1">
      <c r="D27" s="474" t="s">
        <v>3</v>
      </c>
      <c r="G27" s="478">
        <f>Scenarios!M9</f>
        <v>4.4999999999999998E-2</v>
      </c>
      <c r="I27" s="71" t="s">
        <v>282</v>
      </c>
      <c r="J27" s="422">
        <f ca="1">G4*G5</f>
        <v>4235982.8</v>
      </c>
      <c r="K27" s="422">
        <f ca="1">G4*G5</f>
        <v>4235982.8</v>
      </c>
      <c r="L27" s="422">
        <f ca="1">G4*G5</f>
        <v>4235982.8</v>
      </c>
      <c r="M27" s="422">
        <f ca="1">G4*G5</f>
        <v>4235982.8</v>
      </c>
      <c r="N27" s="422">
        <f ca="1">G4*G5</f>
        <v>4235982.8</v>
      </c>
      <c r="O27" s="422">
        <f ca="1">G4*G5</f>
        <v>4235982.8</v>
      </c>
      <c r="P27" s="423"/>
      <c r="Q27" s="408"/>
    </row>
    <row r="28" spans="1:22" ht="15.75" customHeight="1">
      <c r="A28" s="586" t="s">
        <v>283</v>
      </c>
      <c r="D28" s="479" t="s">
        <v>275</v>
      </c>
      <c r="E28" s="480"/>
      <c r="F28" s="480"/>
      <c r="G28" s="481">
        <f ca="1">G25*(1+G27)/(O33-G27)</f>
        <v>4441192.6525545241</v>
      </c>
      <c r="I28" s="71" t="s">
        <v>284</v>
      </c>
      <c r="J28" s="422">
        <f>'Debt Schedule'!Z10</f>
        <v>102700.09512500001</v>
      </c>
      <c r="K28" s="422">
        <f>'Debt Schedule'!AA10</f>
        <v>111671.80463750001</v>
      </c>
      <c r="L28" s="422">
        <f>'Debt Schedule'!AB10</f>
        <v>119566.90900850002</v>
      </c>
      <c r="M28" s="422">
        <f>'Debt Schedule'!AC10</f>
        <v>125961.94354901003</v>
      </c>
      <c r="N28" s="422">
        <f>'Debt Schedule'!AD10</f>
        <v>130481.10129097043</v>
      </c>
      <c r="O28" s="422">
        <f>'Debt Schedule'!AE10</f>
        <v>132831.06331678983</v>
      </c>
      <c r="P28" s="423"/>
      <c r="Q28" s="408"/>
    </row>
    <row r="29" spans="1:22" ht="15" customHeight="1">
      <c r="I29" s="71" t="s">
        <v>285</v>
      </c>
      <c r="J29" s="482">
        <f ca="1">J27/(J27+J28)</f>
        <v>0.97632919998822798</v>
      </c>
      <c r="K29" s="482">
        <f t="shared" ref="K29:O29" ca="1" si="8">K27/(K27+K28)</f>
        <v>0.97431447187217135</v>
      </c>
      <c r="L29" s="482">
        <f t="shared" ca="1" si="8"/>
        <v>0.97254837689920004</v>
      </c>
      <c r="M29" s="482">
        <f t="shared" ca="1" si="8"/>
        <v>0.97112252654385445</v>
      </c>
      <c r="N29" s="482">
        <f t="shared" ca="1" si="8"/>
        <v>0.97011744417435986</v>
      </c>
      <c r="O29" s="482">
        <f t="shared" ca="1" si="8"/>
        <v>0.96959562309758274</v>
      </c>
      <c r="P29" s="483"/>
      <c r="Q29" s="408"/>
    </row>
    <row r="30" spans="1:22" ht="15.75" customHeight="1">
      <c r="D30" s="470" t="s">
        <v>286</v>
      </c>
      <c r="E30" s="470"/>
      <c r="F30" s="470"/>
      <c r="G30" s="470"/>
      <c r="I30" s="200" t="s">
        <v>287</v>
      </c>
      <c r="J30" s="484">
        <f ca="1">J28/(J28+J27)</f>
        <v>2.3670800011772044E-2</v>
      </c>
      <c r="K30" s="484">
        <f t="shared" ref="K30:O30" ca="1" si="9">K28/(K28+K27)</f>
        <v>2.5685528127828594E-2</v>
      </c>
      <c r="L30" s="484">
        <f t="shared" ca="1" si="9"/>
        <v>2.7451623100799901E-2</v>
      </c>
      <c r="M30" s="484">
        <f t="shared" ca="1" si="9"/>
        <v>2.8877473456145525E-2</v>
      </c>
      <c r="N30" s="484">
        <f t="shared" ca="1" si="9"/>
        <v>2.9882555825640273E-2</v>
      </c>
      <c r="O30" s="484">
        <f t="shared" ca="1" si="9"/>
        <v>3.0404376902417381E-2</v>
      </c>
      <c r="P30" s="483"/>
      <c r="Q30" s="408"/>
    </row>
    <row r="31" spans="1:22" ht="15.75" customHeight="1">
      <c r="D31" s="471" t="s">
        <v>277</v>
      </c>
      <c r="E31" s="472"/>
      <c r="F31" s="472"/>
      <c r="G31" s="473"/>
      <c r="I31" s="71" t="s">
        <v>288</v>
      </c>
      <c r="J31" s="583">
        <f>'Discount Factor'!I9</f>
        <v>0.10454999999999999</v>
      </c>
      <c r="K31" s="583">
        <f>'Discount Factor'!I9</f>
        <v>0.10454999999999999</v>
      </c>
      <c r="L31" s="583">
        <f>'Discount Factor'!I9</f>
        <v>0.10454999999999999</v>
      </c>
      <c r="M31" s="583">
        <f>'Discount Factor'!I9</f>
        <v>0.10454999999999999</v>
      </c>
      <c r="N31" s="583">
        <f>'Discount Factor'!I9</f>
        <v>0.10454999999999999</v>
      </c>
      <c r="O31" s="583">
        <f>'Discount Factor'!I9</f>
        <v>0.10454999999999999</v>
      </c>
      <c r="P31" s="483"/>
      <c r="Q31" s="408"/>
    </row>
    <row r="32" spans="1:22" ht="15.75" customHeight="1">
      <c r="D32" s="474" t="s">
        <v>289</v>
      </c>
      <c r="G32" s="475">
        <f>O22</f>
        <v>242225.38855414756</v>
      </c>
      <c r="I32" s="485" t="s">
        <v>290</v>
      </c>
      <c r="J32" s="584">
        <f>'Discount Factor'!L7</f>
        <v>3.2108982942686277E-2</v>
      </c>
      <c r="K32" s="584">
        <f>'Discount Factor'!L7</f>
        <v>3.2108982942686277E-2</v>
      </c>
      <c r="L32" s="584">
        <f>'Discount Factor'!L7</f>
        <v>3.2108982942686277E-2</v>
      </c>
      <c r="M32" s="584">
        <f>'Discount Factor'!L7</f>
        <v>3.2108982942686277E-2</v>
      </c>
      <c r="N32" s="584">
        <f>'Discount Factor'!L7</f>
        <v>3.2108982942686277E-2</v>
      </c>
      <c r="O32" s="584">
        <f>'Discount Factor'!L7</f>
        <v>3.2108982942686277E-2</v>
      </c>
      <c r="P32" s="483"/>
      <c r="Q32" s="408"/>
    </row>
    <row r="33" spans="4:17" ht="16.5" customHeight="1">
      <c r="D33" s="474" t="s">
        <v>291</v>
      </c>
      <c r="G33" s="583">
        <f>'Discount Factor'!I9</f>
        <v>0.10454999999999999</v>
      </c>
      <c r="I33" s="461" t="s">
        <v>280</v>
      </c>
      <c r="J33" s="486">
        <f ca="1">(J32*J30)+(J31*J29)</f>
        <v>0.10283526317258695</v>
      </c>
      <c r="K33" s="486">
        <f t="shared" ref="K33:O33" ca="1" si="10">(K32*K30)+(K31*K29)</f>
        <v>0.10268931421876584</v>
      </c>
      <c r="L33" s="486">
        <f t="shared" ca="1" si="10"/>
        <v>0.102561376502704</v>
      </c>
      <c r="M33" s="486">
        <f t="shared" ca="1" si="10"/>
        <v>0.10245808645279122</v>
      </c>
      <c r="N33" s="486">
        <f t="shared" ca="1" si="10"/>
        <v>0.10238527726371867</v>
      </c>
      <c r="O33" s="486">
        <f t="shared" ca="1" si="10"/>
        <v>0.10234747601419499</v>
      </c>
      <c r="P33" s="487"/>
      <c r="Q33" s="408"/>
    </row>
    <row r="34" spans="4:17" ht="17.25" customHeight="1">
      <c r="D34" s="474" t="s">
        <v>3</v>
      </c>
      <c r="G34" s="478">
        <f>Scenarios!M9</f>
        <v>4.4999999999999998E-2</v>
      </c>
      <c r="I34" s="372"/>
      <c r="J34" s="483"/>
      <c r="K34" s="408"/>
      <c r="L34" s="408"/>
      <c r="M34" s="408"/>
      <c r="N34" s="408"/>
      <c r="O34" s="408"/>
      <c r="P34" s="408"/>
      <c r="Q34" s="408"/>
    </row>
    <row r="35" spans="4:17" ht="15.75" customHeight="1">
      <c r="D35" s="479" t="s">
        <v>286</v>
      </c>
      <c r="E35" s="480"/>
      <c r="F35" s="480"/>
      <c r="G35" s="481">
        <f>G32*(1+G34)/(G33-G34)</f>
        <v>4250638.6404548148</v>
      </c>
      <c r="I35" s="372"/>
      <c r="J35" s="408"/>
      <c r="K35" s="408"/>
      <c r="L35" s="408"/>
      <c r="M35" s="408"/>
      <c r="N35" s="408"/>
      <c r="O35" s="408"/>
      <c r="P35" s="408"/>
      <c r="Q35" s="408"/>
    </row>
    <row r="36" spans="4:17" ht="15.75" customHeight="1">
      <c r="I36" s="372"/>
      <c r="J36" s="488"/>
      <c r="K36" s="488"/>
      <c r="L36" s="408"/>
      <c r="M36" s="408"/>
      <c r="N36" s="408"/>
      <c r="O36" s="408"/>
      <c r="P36" s="408"/>
      <c r="Q36" s="408"/>
    </row>
    <row r="37" spans="4:17" ht="15.75" customHeight="1">
      <c r="D37" s="470" t="s">
        <v>292</v>
      </c>
      <c r="E37" s="470"/>
      <c r="F37" s="470"/>
      <c r="G37" s="470"/>
      <c r="I37" s="372"/>
      <c r="J37" s="488"/>
      <c r="K37" s="488"/>
      <c r="L37" s="408"/>
      <c r="M37" s="408"/>
      <c r="N37" s="408"/>
      <c r="O37" s="408"/>
      <c r="P37" s="408"/>
      <c r="Q37" s="408"/>
    </row>
    <row r="38" spans="4:17" ht="15.75" customHeight="1">
      <c r="D38" s="489">
        <f ca="1">P19/G28</f>
        <v>0.58512436617385144</v>
      </c>
      <c r="E38" s="489"/>
      <c r="F38" s="489"/>
      <c r="G38" s="489"/>
      <c r="I38" s="372"/>
      <c r="J38" s="490"/>
      <c r="K38" s="490"/>
      <c r="L38" s="408"/>
      <c r="M38" s="408"/>
      <c r="N38" s="408"/>
      <c r="O38" s="408"/>
      <c r="P38" s="408"/>
      <c r="Q38" s="408"/>
    </row>
    <row r="39" spans="4:17" ht="15" customHeight="1">
      <c r="J39" s="408"/>
      <c r="K39" s="491"/>
      <c r="L39" s="491"/>
      <c r="M39" s="491"/>
      <c r="N39" s="491"/>
      <c r="O39" s="491"/>
      <c r="P39" s="491"/>
      <c r="Q39" s="491"/>
    </row>
    <row r="40" spans="4:17" ht="15.75" customHeight="1">
      <c r="D40" s="433" t="s">
        <v>293</v>
      </c>
      <c r="E40" s="433"/>
      <c r="F40" s="433"/>
      <c r="G40" s="433"/>
      <c r="J40" s="408"/>
      <c r="K40" s="408"/>
      <c r="L40" s="408"/>
      <c r="M40" s="408"/>
      <c r="N40" s="408"/>
      <c r="O40" s="408"/>
      <c r="P40" s="408"/>
      <c r="Q40" s="408"/>
    </row>
    <row r="41" spans="4:17" ht="15.75" customHeight="1">
      <c r="D41" s="589">
        <f>P23/G35</f>
        <v>0.57873588240419038</v>
      </c>
      <c r="E41" s="589"/>
      <c r="F41" s="589"/>
      <c r="G41" s="589"/>
      <c r="I41" s="492"/>
      <c r="J41" s="493"/>
      <c r="K41" s="416"/>
      <c r="L41" s="416"/>
      <c r="M41" s="416"/>
      <c r="N41" s="416"/>
      <c r="O41" s="416"/>
      <c r="P41" s="416"/>
      <c r="Q41" s="494"/>
    </row>
    <row r="42" spans="4:17" ht="15.75">
      <c r="D42" s="588"/>
      <c r="E42" s="588"/>
      <c r="F42" s="588"/>
      <c r="G42" s="588"/>
    </row>
  </sheetData>
  <conditionalFormatting sqref="G17:G18">
    <cfRule type="cellIs" dxfId="7" priority="6" operator="lessThan">
      <formula>0</formula>
    </cfRule>
    <cfRule type="cellIs" dxfId="6" priority="7" operator="greaterThan">
      <formula>0</formula>
    </cfRule>
  </conditionalFormatting>
  <conditionalFormatting sqref="G9:G10">
    <cfRule type="cellIs" dxfId="5" priority="8" operator="lessThan">
      <formula>0</formula>
    </cfRule>
    <cfRule type="cellIs" dxfId="4" priority="9" operator="greaterThan">
      <formula>0</formula>
    </cfRule>
  </conditionalFormatting>
  <conditionalFormatting sqref="G18:G19">
    <cfRule type="cellIs" dxfId="3" priority="1" operator="lessThan">
      <formula>0</formula>
    </cfRule>
    <cfRule type="cellIs" dxfId="2" priority="2" operator="greaterThan">
      <formula>0</formula>
    </cfRule>
  </conditionalFormatting>
  <conditionalFormatting sqref="G10:G11">
    <cfRule type="cellIs" dxfId="1" priority="3" operator="lessThan">
      <formula>0</formula>
    </cfRule>
    <cfRule type="cellIs" dxfId="0" priority="4" operator="greaterThan">
      <formula>0</formula>
    </cfRule>
  </conditionalFormatting>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1141A"/>
  </sheetPr>
  <dimension ref="F4:Q22"/>
  <sheetViews>
    <sheetView showGridLines="0" zoomScale="115" zoomScaleNormal="115" workbookViewId="0">
      <selection activeCell="F24" sqref="F24"/>
    </sheetView>
  </sheetViews>
  <sheetFormatPr defaultColWidth="9.75" defaultRowHeight="12.75"/>
  <cols>
    <col min="1" max="5" width="9.75" style="1"/>
    <col min="6" max="6" width="31.125" style="1" customWidth="1"/>
    <col min="7" max="7" width="9.75" style="1"/>
    <col min="8" max="8" width="9.375" style="1" customWidth="1"/>
    <col min="9" max="9" width="10.625" style="1" customWidth="1"/>
    <col min="10" max="10" width="13.375" style="1" customWidth="1"/>
    <col min="11" max="11" width="20.25" style="1" customWidth="1"/>
    <col min="12" max="12" width="11.375" style="1" customWidth="1"/>
    <col min="13" max="13" width="13.375" style="1" customWidth="1"/>
    <col min="14" max="14" width="8.875" style="1" customWidth="1"/>
    <col min="15" max="15" width="12.25" style="1" customWidth="1"/>
    <col min="16" max="16384" width="9.75" style="1"/>
  </cols>
  <sheetData>
    <row r="4" spans="6:17" ht="15.75" customHeight="1">
      <c r="F4" s="754" t="s">
        <v>294</v>
      </c>
      <c r="G4" s="754"/>
      <c r="H4" s="754"/>
      <c r="I4" s="754"/>
      <c r="K4" s="754" t="s">
        <v>295</v>
      </c>
      <c r="L4" s="754"/>
      <c r="M4" s="754"/>
      <c r="O4" s="372"/>
      <c r="P4" s="373"/>
    </row>
    <row r="5" spans="6:17" ht="15.75" customHeight="1">
      <c r="F5" s="374" t="s">
        <v>296</v>
      </c>
      <c r="G5" s="375"/>
      <c r="H5" s="375"/>
      <c r="I5" s="376">
        <v>4.5999999999999999E-2</v>
      </c>
      <c r="K5" s="377" t="s">
        <v>297</v>
      </c>
      <c r="L5" s="580">
        <f>'Debt Compostion'!E15</f>
        <v>3.9720358393672377E-2</v>
      </c>
      <c r="M5" s="378"/>
      <c r="O5" s="372"/>
      <c r="P5" s="373"/>
    </row>
    <row r="6" spans="6:17" ht="15" customHeight="1">
      <c r="F6" s="379" t="s">
        <v>298</v>
      </c>
      <c r="I6" s="380">
        <v>1.25</v>
      </c>
      <c r="K6" s="381" t="s">
        <v>299</v>
      </c>
      <c r="L6" s="662">
        <f>'Income Statement'!AA28</f>
        <v>0.19162403761690694</v>
      </c>
      <c r="M6" s="382"/>
      <c r="O6" s="372"/>
      <c r="P6" s="383"/>
    </row>
    <row r="7" spans="6:17" ht="15.75" customHeight="1">
      <c r="F7" s="384" t="s">
        <v>300</v>
      </c>
      <c r="I7" s="385">
        <v>4.4999999999999998E-2</v>
      </c>
      <c r="K7" s="386" t="s">
        <v>301</v>
      </c>
      <c r="L7" s="585">
        <f>L5*(1-L6)</f>
        <v>3.2108982942686277E-2</v>
      </c>
      <c r="M7" s="388"/>
      <c r="Q7" s="389"/>
    </row>
    <row r="8" spans="6:17" ht="15" customHeight="1">
      <c r="F8" s="390" t="s">
        <v>302</v>
      </c>
      <c r="G8" s="258"/>
      <c r="H8" s="258"/>
      <c r="I8" s="581">
        <v>2.3E-3</v>
      </c>
      <c r="L8" s="227"/>
      <c r="M8" s="227"/>
    </row>
    <row r="9" spans="6:17" ht="15.75" customHeight="1">
      <c r="F9" s="386" t="s">
        <v>291</v>
      </c>
      <c r="G9" s="387"/>
      <c r="H9" s="387"/>
      <c r="I9" s="593">
        <f>I5+(I6*I7)+I8</f>
        <v>0.10454999999999999</v>
      </c>
      <c r="L9" s="227"/>
      <c r="M9" s="227"/>
    </row>
    <row r="10" spans="6:17" ht="15" customHeight="1">
      <c r="I10" s="391"/>
    </row>
    <row r="14" spans="6:17" ht="15" customHeight="1">
      <c r="F14" s="755"/>
      <c r="G14" s="755"/>
      <c r="H14" s="755"/>
      <c r="I14" s="755"/>
      <c r="J14" s="755"/>
      <c r="K14" s="755"/>
      <c r="L14" s="755"/>
      <c r="M14" s="755"/>
      <c r="N14" s="755"/>
      <c r="O14" s="755"/>
    </row>
    <row r="15" spans="6:17" ht="15" customHeight="1">
      <c r="F15" s="372" t="s">
        <v>303</v>
      </c>
      <c r="G15" s="373" t="s">
        <v>304</v>
      </c>
      <c r="H15" s="392"/>
      <c r="I15" s="392"/>
      <c r="J15" s="70"/>
      <c r="K15" s="393"/>
      <c r="L15" s="394"/>
      <c r="M15" s="70"/>
      <c r="N15" s="70"/>
      <c r="O15" s="395"/>
    </row>
    <row r="16" spans="6:17" ht="15" customHeight="1">
      <c r="F16" s="372" t="s">
        <v>305</v>
      </c>
      <c r="G16" s="582" t="s">
        <v>306</v>
      </c>
      <c r="H16" s="396"/>
      <c r="I16" s="397"/>
      <c r="J16" s="396"/>
      <c r="K16" s="398"/>
      <c r="L16" s="398"/>
      <c r="M16" s="399"/>
      <c r="N16" s="400"/>
      <c r="O16" s="400"/>
    </row>
    <row r="17" spans="6:15" ht="15" customHeight="1">
      <c r="F17" s="372" t="s">
        <v>307</v>
      </c>
      <c r="G17" s="383" t="s">
        <v>308</v>
      </c>
      <c r="H17" s="401"/>
      <c r="I17" s="397"/>
      <c r="J17" s="396"/>
      <c r="K17" s="398"/>
      <c r="L17" s="402"/>
      <c r="M17" s="399"/>
      <c r="N17" s="400"/>
      <c r="O17" s="400"/>
    </row>
    <row r="18" spans="6:15" ht="15" customHeight="1">
      <c r="F18" s="401"/>
      <c r="G18" s="401"/>
      <c r="H18" s="401"/>
      <c r="I18" s="403"/>
      <c r="J18" s="396"/>
      <c r="K18" s="404"/>
      <c r="L18" s="404"/>
      <c r="M18" s="404"/>
      <c r="N18" s="400"/>
      <c r="O18" s="400"/>
    </row>
    <row r="19" spans="6:15" ht="15" customHeight="1">
      <c r="K19" s="405"/>
      <c r="O19" s="132"/>
    </row>
    <row r="20" spans="6:15" ht="15" customHeight="1">
      <c r="O20" s="132"/>
    </row>
    <row r="22" spans="6:15" ht="15" customHeight="1">
      <c r="M22" s="406"/>
    </row>
  </sheetData>
  <mergeCells count="3">
    <mergeCell ref="F4:I4"/>
    <mergeCell ref="K4:M4"/>
    <mergeCell ref="F14:O14"/>
  </mergeCells>
  <hyperlinks>
    <hyperlink ref="G15" r:id="rId1" xr:uid="{00000000-0004-0000-0900-000000000000}"/>
    <hyperlink ref="G17" r:id="rId2" xr:uid="{00000000-0004-0000-0900-000001000000}"/>
    <hyperlink ref="G16" r:id="rId3" xr:uid="{A09A15F8-4685-4AE7-A5CC-5314BE1726F1}"/>
  </hyperlinks>
  <pageMargins left="0.75" right="0.75" top="1" bottom="1" header="0.511811023622047" footer="0.511811023622047"/>
  <pageSetup paperSize="9" orientation="portrait" horizontalDpi="300" verticalDpi="300"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31013"/>
  </sheetPr>
  <dimension ref="A1:AW28"/>
  <sheetViews>
    <sheetView showGridLines="0" zoomScale="85" zoomScaleNormal="85" workbookViewId="0">
      <pane xSplit="3" ySplit="5" topLeftCell="W6" activePane="bottomRight" state="frozen"/>
      <selection pane="bottomRight" activeCell="W18" sqref="W18"/>
      <selection pane="bottomLeft" activeCell="A6" sqref="A6"/>
      <selection pane="topRight" activeCell="D1" sqref="D1"/>
    </sheetView>
  </sheetViews>
  <sheetFormatPr defaultColWidth="8.5" defaultRowHeight="14.25"/>
  <cols>
    <col min="1" max="1" width="2" customWidth="1"/>
    <col min="3" max="3" width="20.125" customWidth="1"/>
    <col min="4" max="4" width="10.125" customWidth="1"/>
    <col min="7" max="9" width="9" customWidth="1"/>
    <col min="10" max="10" width="9.5" customWidth="1"/>
    <col min="11" max="11" width="12.5" customWidth="1"/>
    <col min="12" max="18" width="9.5" customWidth="1"/>
    <col min="21" max="21" width="10" customWidth="1"/>
    <col min="26" max="31" width="9.5" customWidth="1"/>
  </cols>
  <sheetData>
    <row r="1" spans="1:40" ht="15" customHeight="1">
      <c r="A1" s="71"/>
      <c r="K1" s="72" t="s">
        <v>50</v>
      </c>
    </row>
    <row r="2" spans="1:40" ht="15.75" customHeight="1">
      <c r="K2" s="73" t="s">
        <v>51</v>
      </c>
    </row>
    <row r="3" spans="1:40" ht="15" customHeight="1">
      <c r="K3" s="74" t="s">
        <v>52</v>
      </c>
      <c r="AE3" s="154"/>
    </row>
    <row r="5" spans="1:40" ht="15" customHeight="1">
      <c r="A5" s="746" t="s">
        <v>309</v>
      </c>
      <c r="B5" s="746"/>
      <c r="C5" s="746"/>
      <c r="D5" s="76">
        <v>2020</v>
      </c>
      <c r="E5" s="76">
        <v>2021</v>
      </c>
      <c r="F5" s="76">
        <v>2022</v>
      </c>
      <c r="G5" s="194" t="s">
        <v>26</v>
      </c>
      <c r="H5" s="194" t="s">
        <v>27</v>
      </c>
      <c r="I5" s="194" t="s">
        <v>28</v>
      </c>
      <c r="J5" s="194" t="s">
        <v>29</v>
      </c>
      <c r="K5" s="76">
        <v>2023</v>
      </c>
      <c r="L5" s="194" t="s">
        <v>30</v>
      </c>
      <c r="M5" s="194" t="s">
        <v>31</v>
      </c>
      <c r="N5" s="194" t="s">
        <v>32</v>
      </c>
      <c r="O5" s="194" t="s">
        <v>33</v>
      </c>
      <c r="P5" s="76">
        <v>2024</v>
      </c>
      <c r="Q5" s="194" t="s">
        <v>34</v>
      </c>
      <c r="R5" s="194" t="s">
        <v>35</v>
      </c>
      <c r="S5" s="194" t="s">
        <v>36</v>
      </c>
      <c r="T5" s="194" t="s">
        <v>37</v>
      </c>
      <c r="U5" s="76">
        <v>2025</v>
      </c>
      <c r="V5" s="76" t="s">
        <v>38</v>
      </c>
      <c r="W5" s="77" t="s">
        <v>58</v>
      </c>
      <c r="X5" s="77" t="s">
        <v>59</v>
      </c>
      <c r="Y5" s="77" t="s">
        <v>60</v>
      </c>
      <c r="Z5" s="77">
        <v>2026</v>
      </c>
      <c r="AA5" s="77">
        <v>2027</v>
      </c>
      <c r="AB5" s="77">
        <v>2028</v>
      </c>
      <c r="AC5" s="77">
        <v>2029</v>
      </c>
      <c r="AD5" s="77">
        <v>2030</v>
      </c>
      <c r="AE5" s="77">
        <v>2031</v>
      </c>
    </row>
    <row r="6" spans="1:40" ht="18.75" customHeight="1">
      <c r="A6" s="83"/>
      <c r="B6" s="84"/>
      <c r="C6" s="84"/>
      <c r="D6" s="142"/>
      <c r="E6" s="142"/>
      <c r="F6" s="142"/>
      <c r="G6" s="143"/>
      <c r="H6" s="143"/>
      <c r="I6" s="143"/>
      <c r="J6" s="143"/>
      <c r="K6" s="142"/>
      <c r="L6" s="143"/>
      <c r="M6" s="143"/>
      <c r="N6" s="143"/>
      <c r="O6" s="143"/>
      <c r="P6" s="142"/>
      <c r="Q6" s="143"/>
      <c r="R6" s="143"/>
      <c r="S6" s="143"/>
      <c r="T6" s="143"/>
      <c r="U6" s="142"/>
      <c r="V6" s="143"/>
      <c r="W6" s="88"/>
      <c r="X6" s="88"/>
      <c r="Y6" s="88"/>
      <c r="Z6" s="88"/>
      <c r="AA6" s="88"/>
      <c r="AB6" s="88"/>
      <c r="AC6" s="88"/>
      <c r="AD6" s="88"/>
      <c r="AE6" s="88"/>
    </row>
    <row r="7" spans="1:40" ht="18.75" customHeight="1">
      <c r="A7" s="71" t="s">
        <v>310</v>
      </c>
      <c r="B7" s="71"/>
      <c r="C7" s="84"/>
      <c r="D7" s="195">
        <f>Macro!P7/100</f>
        <v>9.300000000000001E-3</v>
      </c>
      <c r="E7" s="195">
        <f>Macro!Q7/100</f>
        <v>1.47E-2</v>
      </c>
      <c r="F7" s="195">
        <f>Macro!R7/100</f>
        <v>3.8800000000000001E-2</v>
      </c>
      <c r="G7" s="196"/>
      <c r="H7" s="196"/>
      <c r="I7" s="196"/>
      <c r="J7" s="196"/>
      <c r="K7" s="195">
        <f>Macro!S7/100</f>
        <v>3.8800000000000001E-2</v>
      </c>
      <c r="L7" s="196"/>
      <c r="M7" s="196"/>
      <c r="N7" s="196"/>
      <c r="O7" s="196"/>
      <c r="P7" s="195">
        <f>Macro!T7/100</f>
        <v>4.58E-2</v>
      </c>
      <c r="Q7" s="196"/>
      <c r="R7" s="196"/>
      <c r="S7" s="196"/>
      <c r="T7" s="196"/>
      <c r="U7" s="195">
        <f>Macro!U7/100</f>
        <v>4.1799999999999997E-2</v>
      </c>
      <c r="V7" s="197"/>
      <c r="W7" s="198"/>
      <c r="X7" s="198"/>
      <c r="Y7" s="198"/>
      <c r="Z7" s="596">
        <f>Macro!V7/100</f>
        <v>4.49875E-2</v>
      </c>
      <c r="AA7" s="597">
        <f>Macro!W7/100</f>
        <v>4.49875E-2</v>
      </c>
      <c r="AB7" s="597">
        <f>Macro!X7/100</f>
        <v>4.49875E-2</v>
      </c>
      <c r="AC7" s="597">
        <f>Macro!Y7/100</f>
        <v>4.49875E-2</v>
      </c>
      <c r="AD7" s="597">
        <f>Macro!Z7/100</f>
        <v>4.49875E-2</v>
      </c>
      <c r="AE7" s="597">
        <f>AD7</f>
        <v>4.49875E-2</v>
      </c>
    </row>
    <row r="8" spans="1:40" ht="18.75" customHeight="1">
      <c r="A8" s="71" t="s">
        <v>311</v>
      </c>
      <c r="B8" s="71"/>
      <c r="C8" s="84"/>
      <c r="D8" s="195">
        <f t="shared" ref="D8:V8" si="0">D16</f>
        <v>9.6899224806201549E-3</v>
      </c>
      <c r="E8" s="195">
        <f t="shared" si="0"/>
        <v>2.3351555645542282E-2</v>
      </c>
      <c r="F8" s="195">
        <f t="shared" si="0"/>
        <v>2.4284062308686485E-2</v>
      </c>
      <c r="G8" s="196">
        <f t="shared" si="0"/>
        <v>5.8406950427100828E-3</v>
      </c>
      <c r="H8" s="196">
        <f t="shared" si="0"/>
        <v>3.1375410434148123E-3</v>
      </c>
      <c r="I8" s="196">
        <f t="shared" si="0"/>
        <v>8.4173862564400261E-3</v>
      </c>
      <c r="J8" s="196">
        <f t="shared" si="0"/>
        <v>5.2063683694257906E-3</v>
      </c>
      <c r="K8" s="195">
        <f t="shared" si="0"/>
        <v>2.3240021127291934E-2</v>
      </c>
      <c r="L8" s="196">
        <f t="shared" si="0"/>
        <v>7.1061384941034167E-3</v>
      </c>
      <c r="M8" s="196">
        <f t="shared" si="0"/>
        <v>5.0611874905574861E-3</v>
      </c>
      <c r="N8" s="196">
        <f t="shared" si="0"/>
        <v>4.3913149548670408E-3</v>
      </c>
      <c r="O8" s="196">
        <f t="shared" si="0"/>
        <v>4.8699807038500411E-3</v>
      </c>
      <c r="P8" s="195">
        <f t="shared" si="0"/>
        <v>2.4625562804373793E-2</v>
      </c>
      <c r="Q8" s="196">
        <f t="shared" si="0"/>
        <v>3.1232776042623553E-3</v>
      </c>
      <c r="R8" s="196">
        <f t="shared" si="0"/>
        <v>1.105604269919939E-2</v>
      </c>
      <c r="S8" s="196">
        <f t="shared" si="0"/>
        <v>6.6182255750451245E-3</v>
      </c>
      <c r="T8" s="196">
        <f t="shared" si="0"/>
        <v>6.4021311792381895E-3</v>
      </c>
      <c r="U8" s="195">
        <f t="shared" si="0"/>
        <v>1.581197499301781E-2</v>
      </c>
      <c r="V8" s="196">
        <f t="shared" si="0"/>
        <v>6.8773306150888376E-3</v>
      </c>
      <c r="W8" s="198"/>
      <c r="X8" s="198"/>
      <c r="Y8" s="198"/>
      <c r="Z8" s="198"/>
      <c r="AA8" s="198"/>
      <c r="AB8" s="198"/>
      <c r="AC8" s="198"/>
      <c r="AD8" s="198"/>
      <c r="AE8" s="198"/>
      <c r="AF8" s="153"/>
      <c r="AG8" s="153"/>
      <c r="AH8" s="153"/>
      <c r="AI8" s="147"/>
      <c r="AJ8" s="147"/>
      <c r="AK8" s="147"/>
      <c r="AL8" s="147"/>
      <c r="AM8" s="147"/>
      <c r="AN8" s="147"/>
    </row>
    <row r="9" spans="1:40" ht="18.75" customHeight="1">
      <c r="A9" s="71"/>
      <c r="B9" s="71"/>
      <c r="C9" s="84"/>
      <c r="D9" s="85"/>
      <c r="E9" s="85"/>
      <c r="F9" s="85"/>
      <c r="G9" s="132"/>
      <c r="H9" s="132"/>
      <c r="I9" s="132"/>
      <c r="J9" s="132"/>
      <c r="K9" s="134"/>
      <c r="L9" s="132"/>
      <c r="M9" s="132"/>
      <c r="N9" s="132"/>
      <c r="O9" s="132"/>
      <c r="P9" s="134"/>
      <c r="Q9" s="132"/>
      <c r="R9" s="132"/>
      <c r="S9" s="132"/>
      <c r="T9" s="132"/>
      <c r="U9" s="134"/>
      <c r="V9" s="135"/>
      <c r="W9" s="88"/>
      <c r="X9" s="88"/>
      <c r="Y9" s="88"/>
      <c r="Z9" s="88"/>
      <c r="AA9" s="88"/>
      <c r="AB9" s="88"/>
      <c r="AC9" s="88"/>
      <c r="AD9" s="88"/>
      <c r="AE9" s="88"/>
    </row>
    <row r="10" spans="1:40" ht="18.75" customHeight="1">
      <c r="A10" s="199" t="s">
        <v>312</v>
      </c>
      <c r="B10" s="200"/>
      <c r="C10" s="80"/>
      <c r="D10" s="81">
        <f t="shared" ref="D10:V10" si="1">SUM(D12,D23)</f>
        <v>25078</v>
      </c>
      <c r="E10" s="81">
        <f t="shared" si="1"/>
        <v>26206</v>
      </c>
      <c r="F10" s="81">
        <f t="shared" si="1"/>
        <v>27202</v>
      </c>
      <c r="G10" s="82">
        <f t="shared" si="1"/>
        <v>26496</v>
      </c>
      <c r="H10" s="82">
        <f t="shared" si="1"/>
        <v>26451</v>
      </c>
      <c r="I10" s="82">
        <f t="shared" si="1"/>
        <v>26331</v>
      </c>
      <c r="J10" s="82">
        <f t="shared" si="1"/>
        <v>25713</v>
      </c>
      <c r="K10" s="81">
        <f t="shared" si="1"/>
        <v>25713</v>
      </c>
      <c r="L10" s="82">
        <f t="shared" si="1"/>
        <v>25185</v>
      </c>
      <c r="M10" s="82">
        <f t="shared" si="1"/>
        <v>24946</v>
      </c>
      <c r="N10" s="82">
        <f t="shared" si="1"/>
        <v>23951</v>
      </c>
      <c r="O10" s="82">
        <f t="shared" si="1"/>
        <v>22574</v>
      </c>
      <c r="P10" s="81">
        <f t="shared" si="1"/>
        <v>22574</v>
      </c>
      <c r="Q10" s="82">
        <f t="shared" si="1"/>
        <v>22564</v>
      </c>
      <c r="R10" s="82">
        <f t="shared" si="1"/>
        <v>35559</v>
      </c>
      <c r="S10" s="82">
        <f t="shared" si="1"/>
        <v>33713</v>
      </c>
      <c r="T10" s="82">
        <f t="shared" si="1"/>
        <v>59291</v>
      </c>
      <c r="U10" s="81">
        <f t="shared" si="1"/>
        <v>59291</v>
      </c>
      <c r="V10" s="82">
        <f t="shared" si="1"/>
        <v>90484</v>
      </c>
      <c r="W10" s="141">
        <f>W12+W23</f>
        <v>94359.05</v>
      </c>
      <c r="X10" s="141">
        <f>X12+X23</f>
        <v>98427.852500000008</v>
      </c>
      <c r="Y10" s="141">
        <f>Y12+Y23</f>
        <v>102700.09512500001</v>
      </c>
      <c r="Z10" s="141">
        <f>Z12+Z23</f>
        <v>102700.09512500001</v>
      </c>
      <c r="AA10" s="141">
        <f>AA12+AA23</f>
        <v>111671.80463750001</v>
      </c>
      <c r="AB10" s="141">
        <f>AB12+AB23</f>
        <v>119566.90900850002</v>
      </c>
      <c r="AC10" s="141">
        <f>AC12+AC23</f>
        <v>125961.94354901003</v>
      </c>
      <c r="AD10" s="141">
        <f>AD12+AD23</f>
        <v>130481.10129097043</v>
      </c>
      <c r="AE10" s="141">
        <f>AE12+AE23</f>
        <v>132831.06331678983</v>
      </c>
    </row>
    <row r="11" spans="1:40" ht="18.75" customHeight="1">
      <c r="A11" s="71"/>
      <c r="B11" s="71"/>
      <c r="C11" s="84"/>
      <c r="D11" s="146"/>
      <c r="E11" s="146"/>
      <c r="F11" s="146"/>
      <c r="G11" s="147"/>
      <c r="H11" s="147"/>
      <c r="I11" s="147"/>
      <c r="J11" s="147"/>
      <c r="K11" s="146"/>
      <c r="L11" s="147"/>
      <c r="M11" s="147"/>
      <c r="N11" s="147"/>
      <c r="O11" s="147"/>
      <c r="P11" s="146"/>
      <c r="Q11" s="147"/>
      <c r="R11" s="147"/>
      <c r="S11" s="147"/>
      <c r="T11" s="147"/>
      <c r="U11" s="146"/>
      <c r="V11" s="147"/>
      <c r="W11" s="88"/>
      <c r="X11" s="88"/>
      <c r="Y11" s="88"/>
      <c r="Z11" s="88"/>
      <c r="AA11" s="88"/>
      <c r="AB11" s="88"/>
      <c r="AC11" s="88"/>
      <c r="AD11" s="88"/>
      <c r="AE11" s="88"/>
    </row>
    <row r="12" spans="1:40" ht="19.5" customHeight="1">
      <c r="A12" s="71" t="s">
        <v>313</v>
      </c>
      <c r="B12" s="71"/>
      <c r="C12" s="84"/>
      <c r="D12" s="134">
        <f>BS!D30</f>
        <v>13932</v>
      </c>
      <c r="E12" s="134">
        <f>BS!E30</f>
        <v>14817</v>
      </c>
      <c r="F12" s="134">
        <f>BS!F30</f>
        <v>14701</v>
      </c>
      <c r="G12" s="135">
        <f>BS!G30</f>
        <v>13697</v>
      </c>
      <c r="H12" s="135">
        <f>BS!H30</f>
        <v>13705</v>
      </c>
      <c r="I12" s="135">
        <f>BS!I30</f>
        <v>13781</v>
      </c>
      <c r="J12" s="135">
        <f>BS!J30</f>
        <v>13253</v>
      </c>
      <c r="K12" s="134">
        <f>BS!K30</f>
        <v>13253</v>
      </c>
      <c r="L12" s="135">
        <f>BS!L30</f>
        <v>13228</v>
      </c>
      <c r="M12" s="135">
        <f>BS!M30</f>
        <v>13238</v>
      </c>
      <c r="N12" s="135">
        <f>BS!N30</f>
        <v>12297</v>
      </c>
      <c r="O12" s="135">
        <f>BS!O30</f>
        <v>10883</v>
      </c>
      <c r="P12" s="134">
        <f>BS!P30</f>
        <v>10883</v>
      </c>
      <c r="Q12" s="135">
        <f>BS!Q30</f>
        <v>10886</v>
      </c>
      <c r="R12" s="135">
        <f>BS!R30</f>
        <v>23607</v>
      </c>
      <c r="S12" s="135">
        <f>BS!S30</f>
        <v>21607</v>
      </c>
      <c r="T12" s="135">
        <f>BS!T30</f>
        <v>46547</v>
      </c>
      <c r="U12" s="134">
        <f>BS!U30</f>
        <v>46547</v>
      </c>
      <c r="V12" s="135">
        <f>BS!V30</f>
        <v>77501</v>
      </c>
      <c r="W12" s="158">
        <f>V12*(1+W13)</f>
        <v>81376.05</v>
      </c>
      <c r="X12" s="158">
        <f>W12*(1+X13)</f>
        <v>85444.852500000008</v>
      </c>
      <c r="Y12" s="158">
        <f>X12*(1+Y13)</f>
        <v>89717.095125000007</v>
      </c>
      <c r="Z12" s="158">
        <f>Y12</f>
        <v>89717.095125000007</v>
      </c>
      <c r="AA12" s="158">
        <f>Z12*(1+AA13)</f>
        <v>98688.804637500012</v>
      </c>
      <c r="AB12" s="158">
        <f>AA12*(1+AB13)</f>
        <v>106583.90900850002</v>
      </c>
      <c r="AC12" s="158">
        <f>AB12*(1+AC13)</f>
        <v>112978.94354901003</v>
      </c>
      <c r="AD12" s="158">
        <f>AC12*(1+AD13)</f>
        <v>117498.10129097043</v>
      </c>
      <c r="AE12" s="158">
        <f>AD12*(1+AE13)</f>
        <v>119848.06331678983</v>
      </c>
      <c r="AF12" s="201"/>
    </row>
    <row r="13" spans="1:40" ht="19.5" customHeight="1">
      <c r="A13" s="71"/>
      <c r="B13" s="71" t="s">
        <v>62</v>
      </c>
      <c r="C13" s="84"/>
      <c r="D13" s="134"/>
      <c r="E13" s="195">
        <f>E12/D12-1</f>
        <v>6.3522825150732043E-2</v>
      </c>
      <c r="F13" s="195">
        <f>F12/E12-1</f>
        <v>-7.8288452453263435E-3</v>
      </c>
      <c r="G13" s="196"/>
      <c r="H13" s="196"/>
      <c r="I13" s="196"/>
      <c r="J13" s="196"/>
      <c r="K13" s="195">
        <f>K12/F12-1</f>
        <v>-9.8496700904700307E-2</v>
      </c>
      <c r="L13" s="196">
        <f>L12/G12-1</f>
        <v>-3.424107468788784E-2</v>
      </c>
      <c r="M13" s="196">
        <f>M12/H12-1</f>
        <v>-3.4075155052900374E-2</v>
      </c>
      <c r="N13" s="196">
        <f>N12/I12-1</f>
        <v>-0.10768449314273276</v>
      </c>
      <c r="O13" s="196">
        <f>O12/J12-1</f>
        <v>-0.17882743529766842</v>
      </c>
      <c r="P13" s="195">
        <f>P12/K12-1</f>
        <v>-0.17882743529766842</v>
      </c>
      <c r="Q13" s="196">
        <f>Q12/L12-1</f>
        <v>-0.17704868460840639</v>
      </c>
      <c r="R13" s="196">
        <f>R12/M12-1</f>
        <v>0.78327541924762056</v>
      </c>
      <c r="S13" s="196">
        <f>S12/N12-1</f>
        <v>0.75709522647800287</v>
      </c>
      <c r="T13" s="196">
        <f>T12/O12-1</f>
        <v>3.2770375815492052</v>
      </c>
      <c r="U13" s="195">
        <f>U12/P12-1</f>
        <v>3.2770375815492052</v>
      </c>
      <c r="V13" s="196">
        <f>V12/U12-1</f>
        <v>0.66500526349711042</v>
      </c>
      <c r="W13" s="202">
        <v>0.05</v>
      </c>
      <c r="X13" s="202">
        <v>0.05</v>
      </c>
      <c r="Y13" s="202">
        <v>0.05</v>
      </c>
      <c r="Z13" s="203"/>
      <c r="AA13" s="202">
        <v>0.1</v>
      </c>
      <c r="AB13" s="202">
        <f>AA13-2%</f>
        <v>0.08</v>
      </c>
      <c r="AC13" s="202">
        <f>AB13-2%</f>
        <v>0.06</v>
      </c>
      <c r="AD13" s="202">
        <f>AC13-2%</f>
        <v>3.9999999999999994E-2</v>
      </c>
      <c r="AE13" s="202">
        <f>AD13-2%</f>
        <v>1.9999999999999993E-2</v>
      </c>
    </row>
    <row r="14" spans="1:40" ht="18.75" customHeight="1">
      <c r="A14" s="71"/>
      <c r="B14" s="71"/>
      <c r="C14" s="84"/>
      <c r="D14" s="85"/>
      <c r="E14" s="85"/>
      <c r="F14" s="85"/>
      <c r="G14" s="132"/>
      <c r="H14" s="132"/>
      <c r="I14" s="132"/>
      <c r="J14" s="132"/>
      <c r="K14" s="134"/>
      <c r="L14" s="132"/>
      <c r="M14" s="132"/>
      <c r="N14" s="132"/>
      <c r="O14" s="132"/>
      <c r="P14" s="134"/>
      <c r="Q14" s="132"/>
      <c r="R14" s="132"/>
      <c r="S14" s="132"/>
      <c r="T14" s="132"/>
      <c r="U14" s="134"/>
      <c r="V14" s="135"/>
      <c r="W14" s="88"/>
      <c r="X14" s="88"/>
      <c r="Y14" s="88"/>
      <c r="Z14" s="88"/>
      <c r="AA14" s="88"/>
      <c r="AB14" s="88"/>
      <c r="AC14" s="88"/>
      <c r="AD14" s="88"/>
      <c r="AE14" s="88"/>
    </row>
    <row r="15" spans="1:40" ht="19.5" customHeight="1">
      <c r="A15" s="71" t="s">
        <v>314</v>
      </c>
      <c r="B15" s="71"/>
      <c r="C15" s="84"/>
      <c r="D15" s="142">
        <f>'Income Statement'!D20</f>
        <v>-135</v>
      </c>
      <c r="E15" s="142">
        <f>'Income Statement'!E20</f>
        <v>-346</v>
      </c>
      <c r="F15" s="142">
        <f>'Income Statement'!J20</f>
        <v>-357</v>
      </c>
      <c r="G15" s="143">
        <f>'Income Statement'!K20</f>
        <v>-80</v>
      </c>
      <c r="H15" s="143">
        <f>'Income Statement'!L20</f>
        <v>-43</v>
      </c>
      <c r="I15" s="143">
        <f>'Income Statement'!M20</f>
        <v>-116</v>
      </c>
      <c r="J15" s="143">
        <f>'Income Statement'!N20</f>
        <v>-69</v>
      </c>
      <c r="K15" s="142">
        <f>'Income Statement'!O20</f>
        <v>-308</v>
      </c>
      <c r="L15" s="143">
        <f>'Income Statement'!P20</f>
        <v>-94</v>
      </c>
      <c r="M15" s="143">
        <f>'Income Statement'!Q20</f>
        <v>-67</v>
      </c>
      <c r="N15" s="143">
        <f>'Income Statement'!R20</f>
        <v>-54</v>
      </c>
      <c r="O15" s="143">
        <f>'Income Statement'!S20</f>
        <v>-53</v>
      </c>
      <c r="P15" s="142">
        <f>'Income Statement'!T20</f>
        <v>-268</v>
      </c>
      <c r="Q15" s="143">
        <f>'Income Statement'!U20</f>
        <v>-34</v>
      </c>
      <c r="R15" s="143">
        <f>'Income Statement'!V20</f>
        <v>-261</v>
      </c>
      <c r="S15" s="143">
        <f>'Income Statement'!W20</f>
        <v>-143</v>
      </c>
      <c r="T15" s="143">
        <f>'Income Statement'!X20</f>
        <v>-298</v>
      </c>
      <c r="U15" s="142">
        <f>'Income Statement'!Y20</f>
        <v>-736</v>
      </c>
      <c r="V15" s="143">
        <f>'Income Statement'!Z20</f>
        <v>-533</v>
      </c>
      <c r="W15" s="144">
        <f>-W16*W12</f>
        <v>-796.306623167917</v>
      </c>
      <c r="X15" s="144">
        <f>-X16*X12</f>
        <v>-836.1219543263129</v>
      </c>
      <c r="Y15" s="144">
        <f>-Y16*Y12</f>
        <v>-877.92805204262856</v>
      </c>
      <c r="Z15" s="144">
        <f>SUM(V15:Y15)</f>
        <v>-3043.3566295368587</v>
      </c>
      <c r="AA15" s="144">
        <f>-AA16*AA12</f>
        <v>-3919.9546896446168</v>
      </c>
      <c r="AB15" s="144">
        <f>-AB16*AB12</f>
        <v>-4233.5510648161862</v>
      </c>
      <c r="AC15" s="144">
        <f>-AC16*AC12</f>
        <v>-4487.5641287051585</v>
      </c>
      <c r="AD15" s="144">
        <f>-AD16*AD12</f>
        <v>-4667.0666938533641</v>
      </c>
      <c r="AE15" s="144">
        <f>-AE16*AE12</f>
        <v>-4760.408027730432</v>
      </c>
    </row>
    <row r="16" spans="1:40" ht="19.5" customHeight="1">
      <c r="A16" s="71"/>
      <c r="B16" s="204" t="s">
        <v>315</v>
      </c>
      <c r="C16" s="84"/>
      <c r="D16" s="195">
        <f t="shared" ref="D16:V16" si="2">-D15/D12</f>
        <v>9.6899224806201549E-3</v>
      </c>
      <c r="E16" s="195">
        <f t="shared" si="2"/>
        <v>2.3351555645542282E-2</v>
      </c>
      <c r="F16" s="195">
        <f t="shared" si="2"/>
        <v>2.4284062308686485E-2</v>
      </c>
      <c r="G16" s="196">
        <f t="shared" si="2"/>
        <v>5.8406950427100828E-3</v>
      </c>
      <c r="H16" s="196">
        <f t="shared" si="2"/>
        <v>3.1375410434148123E-3</v>
      </c>
      <c r="I16" s="196">
        <f t="shared" si="2"/>
        <v>8.4173862564400261E-3</v>
      </c>
      <c r="J16" s="196">
        <f t="shared" si="2"/>
        <v>5.2063683694257906E-3</v>
      </c>
      <c r="K16" s="195">
        <f t="shared" si="2"/>
        <v>2.3240021127291934E-2</v>
      </c>
      <c r="L16" s="196">
        <f t="shared" si="2"/>
        <v>7.1061384941034167E-3</v>
      </c>
      <c r="M16" s="196">
        <f t="shared" si="2"/>
        <v>5.0611874905574861E-3</v>
      </c>
      <c r="N16" s="196">
        <f t="shared" si="2"/>
        <v>4.3913149548670408E-3</v>
      </c>
      <c r="O16" s="196">
        <f t="shared" si="2"/>
        <v>4.8699807038500411E-3</v>
      </c>
      <c r="P16" s="195">
        <f t="shared" si="2"/>
        <v>2.4625562804373793E-2</v>
      </c>
      <c r="Q16" s="196">
        <f t="shared" si="2"/>
        <v>3.1232776042623553E-3</v>
      </c>
      <c r="R16" s="196">
        <f t="shared" si="2"/>
        <v>1.105604269919939E-2</v>
      </c>
      <c r="S16" s="196">
        <f t="shared" si="2"/>
        <v>6.6182255750451245E-3</v>
      </c>
      <c r="T16" s="196">
        <f t="shared" si="2"/>
        <v>6.4021311792381895E-3</v>
      </c>
      <c r="U16" s="195">
        <f t="shared" si="2"/>
        <v>1.581197499301781E-2</v>
      </c>
      <c r="V16" s="196">
        <f t="shared" si="2"/>
        <v>6.8773306150888376E-3</v>
      </c>
      <c r="W16" s="202">
        <f>(1+AA16)^(1/4)-1</f>
        <v>9.7855158018596011E-3</v>
      </c>
      <c r="X16" s="202">
        <f>(1+AB16)^(1/4)-1</f>
        <v>9.7855158018596011E-3</v>
      </c>
      <c r="Y16" s="202">
        <f>(1+AC16)^(1/4)-1</f>
        <v>9.7855158018596011E-3</v>
      </c>
      <c r="Z16" s="203"/>
      <c r="AA16" s="202">
        <f>'Debt Compostion'!E15</f>
        <v>3.9720358393672377E-2</v>
      </c>
      <c r="AB16" s="202">
        <f>AA16</f>
        <v>3.9720358393672377E-2</v>
      </c>
      <c r="AC16" s="202">
        <f>AB16</f>
        <v>3.9720358393672377E-2</v>
      </c>
      <c r="AD16" s="202">
        <f>AC16</f>
        <v>3.9720358393672377E-2</v>
      </c>
      <c r="AE16" s="202">
        <f>AD16</f>
        <v>3.9720358393672377E-2</v>
      </c>
    </row>
    <row r="17" spans="1:49" ht="19.5" customHeight="1">
      <c r="A17" s="71"/>
      <c r="B17" s="71"/>
      <c r="C17" s="84"/>
      <c r="D17" s="134"/>
      <c r="E17" s="134"/>
      <c r="F17" s="134"/>
      <c r="G17" s="135"/>
      <c r="H17" s="135"/>
      <c r="I17" s="135"/>
      <c r="J17" s="135"/>
      <c r="K17" s="134"/>
      <c r="L17" s="135"/>
      <c r="M17" s="135"/>
      <c r="N17" s="135"/>
      <c r="O17" s="135"/>
      <c r="P17" s="134"/>
      <c r="Q17" s="135"/>
      <c r="R17" s="135"/>
      <c r="S17" s="135"/>
      <c r="T17" s="135"/>
      <c r="U17" s="134"/>
      <c r="V17" s="135"/>
      <c r="W17" s="88"/>
      <c r="X17" s="88"/>
      <c r="Y17" s="88"/>
      <c r="Z17" s="88"/>
      <c r="AA17" s="88"/>
      <c r="AB17" s="88"/>
      <c r="AC17" s="88"/>
      <c r="AD17" s="88"/>
      <c r="AE17" s="88"/>
    </row>
    <row r="18" spans="1:49" ht="19.5" customHeight="1">
      <c r="A18" s="71" t="s">
        <v>316</v>
      </c>
      <c r="B18" s="71"/>
      <c r="C18" s="84"/>
      <c r="D18" s="142">
        <f>'Income Statement'!D21</f>
        <v>1865</v>
      </c>
      <c r="E18" s="142">
        <f>'Income Statement'!E21</f>
        <v>1499</v>
      </c>
      <c r="F18" s="142">
        <f>'Income Statement'!J21</f>
        <v>2174</v>
      </c>
      <c r="G18" s="143">
        <f>'Income Statement'!K21</f>
        <v>797</v>
      </c>
      <c r="H18" s="143">
        <f>'Income Statement'!L21</f>
        <v>892</v>
      </c>
      <c r="I18" s="143">
        <f>'Income Statement'!M21</f>
        <v>1066</v>
      </c>
      <c r="J18" s="143">
        <f>'Income Statement'!N21</f>
        <v>930</v>
      </c>
      <c r="K18" s="142">
        <f>'Income Statement'!O21</f>
        <v>3685</v>
      </c>
      <c r="L18" s="143">
        <f>'Income Statement'!P21</f>
        <v>1061</v>
      </c>
      <c r="M18" s="143">
        <f>'Income Statement'!Q21</f>
        <v>1090</v>
      </c>
      <c r="N18" s="143">
        <f>'Income Statement'!R21</f>
        <v>1243</v>
      </c>
      <c r="O18" s="143">
        <f>'Income Statement'!S21</f>
        <v>1088</v>
      </c>
      <c r="P18" s="142">
        <f>'Income Statement'!T21</f>
        <v>4482</v>
      </c>
      <c r="Q18" s="143">
        <f>'Income Statement'!U21</f>
        <v>1001</v>
      </c>
      <c r="R18" s="143">
        <f>'Income Statement'!V21</f>
        <v>1050</v>
      </c>
      <c r="S18" s="143">
        <f>'Income Statement'!W21</f>
        <v>1076</v>
      </c>
      <c r="T18" s="143">
        <f>'Income Statement'!X21</f>
        <v>1210</v>
      </c>
      <c r="U18" s="142">
        <f>'Income Statement'!Y21</f>
        <v>4337</v>
      </c>
      <c r="V18" s="143">
        <f>'Income Statement'!Z21</f>
        <v>1381</v>
      </c>
      <c r="W18" s="144">
        <f ca="1">W19*BS!W10</f>
        <v>2216.1618475492005</v>
      </c>
      <c r="X18" s="144">
        <f ca="1">X19*BS!X10</f>
        <v>2143.1266035540821</v>
      </c>
      <c r="Y18" s="144">
        <f ca="1">Y19*BS!Y10</f>
        <v>1948.3322126506782</v>
      </c>
      <c r="Z18" s="144">
        <f ca="1">SUM(V18:Y18)</f>
        <v>7688.6206637539608</v>
      </c>
      <c r="AA18" s="144">
        <f ca="1">AA19*BS!AA10</f>
        <v>4958.2166622114883</v>
      </c>
      <c r="AB18" s="144">
        <f ca="1">AB19*BS!AB10</f>
        <v>2585.2291656916946</v>
      </c>
      <c r="AC18" s="144">
        <f ca="1">AC19*BS!AC10</f>
        <v>760.21916264604783</v>
      </c>
      <c r="AD18" s="144">
        <f ca="1">AD19*BS!AD10</f>
        <v>2188.4779597877705</v>
      </c>
      <c r="AE18" s="144">
        <f ca="1">AE19*BS!AE10</f>
        <v>4042.3771378972474</v>
      </c>
    </row>
    <row r="19" spans="1:49" s="154" customFormat="1" ht="18.75" customHeight="1">
      <c r="A19" s="71"/>
      <c r="B19" s="204" t="s">
        <v>317</v>
      </c>
      <c r="C19" s="84"/>
      <c r="D19" s="195">
        <f>D18/BS!D10</f>
        <v>1.3643612740866461E-2</v>
      </c>
      <c r="E19" s="195">
        <f>E18/BS!E10</f>
        <v>1.0734054665625962E-2</v>
      </c>
      <c r="F19" s="195">
        <f>F18/BS!F10</f>
        <v>1.9110071904502382E-2</v>
      </c>
      <c r="G19" s="196">
        <f>G18/BS!G10</f>
        <v>6.924293235564977E-3</v>
      </c>
      <c r="H19" s="196">
        <f>H18/BS!H10</f>
        <v>7.5381131054997799E-3</v>
      </c>
      <c r="I19" s="196">
        <f>I18/BS!I10</f>
        <v>8.8881477466961276E-3</v>
      </c>
      <c r="J19" s="196">
        <f>J18/BS!J10</f>
        <v>8.3847235745969917E-3</v>
      </c>
      <c r="K19" s="195">
        <f>K18/BS!K10</f>
        <v>3.3223340185365505E-2</v>
      </c>
      <c r="L19" s="196">
        <f>L18/BS!L10</f>
        <v>9.8158941622721804E-3</v>
      </c>
      <c r="M19" s="196">
        <f>M18/BS!M10</f>
        <v>1.0821543807396377E-2</v>
      </c>
      <c r="N19" s="196">
        <f>N18/BS!N10</f>
        <v>1.3332618255926205E-2</v>
      </c>
      <c r="O19" s="196">
        <f>O18/BS!O10</f>
        <v>1.1373971585979071E-2</v>
      </c>
      <c r="P19" s="195">
        <f>P18/BS!P10</f>
        <v>4.6854908684152756E-2</v>
      </c>
      <c r="Q19" s="196">
        <f>Q18/BS!Q10</f>
        <v>1.0500587445451494E-2</v>
      </c>
      <c r="R19" s="196">
        <f>R18/BS!R10</f>
        <v>1.1035439525791399E-2</v>
      </c>
      <c r="S19" s="196">
        <f>S18/BS!S10</f>
        <v>1.0924301494476932E-2</v>
      </c>
      <c r="T19" s="196">
        <f>T18/BS!T10</f>
        <v>9.5393517971035062E-3</v>
      </c>
      <c r="U19" s="195">
        <f>U18/BS!U10</f>
        <v>3.4191874995072646E-2</v>
      </c>
      <c r="V19" s="196">
        <f>V18/BS!V10</f>
        <v>1.0887732576474298E-2</v>
      </c>
      <c r="W19" s="202">
        <f>(1+AA19)^(1/4)-1</f>
        <v>1.1061966965877801E-2</v>
      </c>
      <c r="X19" s="202">
        <f>W19</f>
        <v>1.1061966965877801E-2</v>
      </c>
      <c r="Y19" s="202">
        <f>X19</f>
        <v>1.1061966965877801E-2</v>
      </c>
      <c r="Z19" s="203"/>
      <c r="AA19" s="202">
        <f>AA7</f>
        <v>4.49875E-2</v>
      </c>
      <c r="AB19" s="202">
        <f>AB7</f>
        <v>4.49875E-2</v>
      </c>
      <c r="AC19" s="202">
        <f>AC7</f>
        <v>4.49875E-2</v>
      </c>
      <c r="AD19" s="202">
        <f>AD7</f>
        <v>4.49875E-2</v>
      </c>
      <c r="AE19" s="202">
        <f>AE7</f>
        <v>4.49875E-2</v>
      </c>
      <c r="AF19" s="1"/>
      <c r="AG19" s="167"/>
      <c r="AH19" s="167"/>
      <c r="AI19" s="168"/>
      <c r="AJ19" s="168"/>
      <c r="AK19" s="169"/>
      <c r="AL19" s="739"/>
      <c r="AM19" s="739"/>
      <c r="AN19" s="739"/>
      <c r="AO19" s="168"/>
      <c r="AP19" s="168"/>
      <c r="AQ19" s="169"/>
      <c r="AR19" s="739"/>
      <c r="AS19" s="739"/>
      <c r="AT19" s="739"/>
      <c r="AU19" s="168"/>
      <c r="AV19" s="168"/>
      <c r="AW19" s="169"/>
    </row>
    <row r="20" spans="1:49" s="154" customFormat="1" ht="18.75" customHeight="1">
      <c r="A20" s="71"/>
      <c r="B20" s="204"/>
      <c r="C20" s="84"/>
      <c r="D20" s="195"/>
      <c r="E20" s="195"/>
      <c r="F20" s="195"/>
      <c r="G20" s="196"/>
      <c r="H20" s="196"/>
      <c r="I20" s="196"/>
      <c r="J20" s="196"/>
      <c r="K20" s="195"/>
      <c r="L20" s="196"/>
      <c r="M20" s="196"/>
      <c r="N20" s="196"/>
      <c r="O20" s="196"/>
      <c r="P20" s="195"/>
      <c r="Q20" s="196"/>
      <c r="R20" s="196"/>
      <c r="S20" s="196"/>
      <c r="T20" s="196"/>
      <c r="U20" s="195"/>
      <c r="V20" s="196"/>
      <c r="W20" s="203"/>
      <c r="X20" s="203"/>
      <c r="Y20" s="203"/>
      <c r="Z20" s="203"/>
      <c r="AA20" s="203"/>
      <c r="AB20" s="203"/>
      <c r="AC20" s="203"/>
      <c r="AD20" s="203"/>
      <c r="AE20" s="203"/>
      <c r="AF20" s="1"/>
      <c r="AG20" s="167"/>
      <c r="AH20" s="167"/>
      <c r="AI20" s="168"/>
      <c r="AJ20" s="168"/>
      <c r="AK20" s="169"/>
      <c r="AL20" s="181"/>
      <c r="AM20" s="181"/>
      <c r="AN20" s="181"/>
      <c r="AO20" s="168"/>
      <c r="AP20" s="168"/>
      <c r="AQ20" s="169"/>
      <c r="AR20" s="181"/>
      <c r="AS20" s="181"/>
      <c r="AT20" s="181"/>
      <c r="AU20" s="168"/>
      <c r="AV20" s="168"/>
      <c r="AW20" s="169"/>
    </row>
    <row r="21" spans="1:49" s="154" customFormat="1" ht="19.5" customHeight="1">
      <c r="A21" s="205" t="s">
        <v>96</v>
      </c>
      <c r="B21" s="80"/>
      <c r="C21" s="80"/>
      <c r="D21" s="119"/>
      <c r="E21" s="119"/>
      <c r="F21" s="119"/>
      <c r="G21" s="120"/>
      <c r="H21" s="120"/>
      <c r="I21" s="120"/>
      <c r="J21" s="120"/>
      <c r="K21" s="119"/>
      <c r="L21" s="120"/>
      <c r="M21" s="120"/>
      <c r="N21" s="120"/>
      <c r="O21" s="120"/>
      <c r="P21" s="119"/>
      <c r="Q21" s="120"/>
      <c r="R21" s="120"/>
      <c r="S21" s="120"/>
      <c r="T21" s="120"/>
      <c r="U21" s="119"/>
      <c r="V21" s="120"/>
      <c r="W21" s="123"/>
      <c r="X21" s="123"/>
      <c r="Y21" s="123"/>
      <c r="Z21" s="123"/>
      <c r="AA21" s="123"/>
      <c r="AB21" s="123"/>
      <c r="AC21" s="123"/>
      <c r="AD21" s="123"/>
      <c r="AE21" s="123"/>
      <c r="AF21" s="1"/>
      <c r="AG21" s="166"/>
      <c r="AH21" s="167"/>
      <c r="AI21" s="168"/>
      <c r="AJ21" s="168"/>
      <c r="AK21" s="169"/>
      <c r="AL21" s="739"/>
      <c r="AM21" s="739"/>
      <c r="AN21" s="739"/>
      <c r="AO21" s="168"/>
      <c r="AP21" s="168"/>
      <c r="AQ21" s="169"/>
      <c r="AR21" s="739"/>
      <c r="AS21" s="739"/>
      <c r="AT21" s="739"/>
      <c r="AU21" s="168"/>
      <c r="AV21" s="168"/>
      <c r="AW21" s="169"/>
    </row>
    <row r="22" spans="1:49" s="154" customFormat="1" ht="15" customHeight="1">
      <c r="A22" s="150"/>
      <c r="B22" s="150"/>
      <c r="C22" s="150"/>
      <c r="D22" s="155"/>
      <c r="E22" s="155"/>
      <c r="F22" s="155"/>
      <c r="G22" s="156"/>
      <c r="H22" s="156"/>
      <c r="I22" s="156"/>
      <c r="J22" s="156"/>
      <c r="K22" s="155"/>
      <c r="L22" s="156"/>
      <c r="M22" s="156"/>
      <c r="N22" s="156"/>
      <c r="O22" s="156"/>
      <c r="P22" s="155"/>
      <c r="Q22" s="156"/>
      <c r="R22" s="156"/>
      <c r="S22" s="156"/>
      <c r="T22" s="156"/>
      <c r="U22" s="155"/>
      <c r="V22" s="156"/>
      <c r="W22" s="88"/>
      <c r="X22" s="88"/>
      <c r="Y22" s="88"/>
      <c r="Z22" s="88"/>
      <c r="AA22" s="88"/>
      <c r="AB22" s="88"/>
      <c r="AC22" s="88"/>
      <c r="AD22" s="88"/>
      <c r="AE22" s="88"/>
      <c r="AG22" s="170"/>
    </row>
    <row r="23" spans="1:49" s="154" customFormat="1" ht="15.75" customHeight="1">
      <c r="A23" s="71" t="s">
        <v>96</v>
      </c>
      <c r="B23" s="150"/>
      <c r="C23" s="150"/>
      <c r="D23" s="142">
        <f>BS!D31</f>
        <v>11146</v>
      </c>
      <c r="E23" s="142">
        <f>BS!E31</f>
        <v>11389</v>
      </c>
      <c r="F23" s="142">
        <f>BS!F31</f>
        <v>12501</v>
      </c>
      <c r="G23" s="143">
        <f>BS!G31</f>
        <v>12799</v>
      </c>
      <c r="H23" s="143">
        <f>BS!H31</f>
        <v>12746</v>
      </c>
      <c r="I23" s="143">
        <f>BS!I31</f>
        <v>12550</v>
      </c>
      <c r="J23" s="143">
        <f>BS!J31</f>
        <v>12460</v>
      </c>
      <c r="K23" s="142">
        <f>BS!K31</f>
        <v>12460</v>
      </c>
      <c r="L23" s="143">
        <f>BS!L31</f>
        <v>11957</v>
      </c>
      <c r="M23" s="143">
        <f>BS!M31</f>
        <v>11708</v>
      </c>
      <c r="N23" s="143">
        <f>BS!N31</f>
        <v>11654</v>
      </c>
      <c r="O23" s="143">
        <f>BS!O31</f>
        <v>11691</v>
      </c>
      <c r="P23" s="142">
        <f>BS!P31</f>
        <v>11691</v>
      </c>
      <c r="Q23" s="143">
        <f>BS!Q31</f>
        <v>11678</v>
      </c>
      <c r="R23" s="143">
        <f>BS!R31</f>
        <v>11952</v>
      </c>
      <c r="S23" s="143">
        <f>BS!S31</f>
        <v>12106</v>
      </c>
      <c r="T23" s="143">
        <f>BS!T31</f>
        <v>12744</v>
      </c>
      <c r="U23" s="142">
        <f>BS!U31</f>
        <v>12744</v>
      </c>
      <c r="V23" s="143">
        <f>BS!V31</f>
        <v>12983</v>
      </c>
      <c r="W23" s="144">
        <f>V23</f>
        <v>12983</v>
      </c>
      <c r="X23" s="144">
        <f>W23</f>
        <v>12983</v>
      </c>
      <c r="Y23" s="144">
        <f>X23</f>
        <v>12983</v>
      </c>
      <c r="Z23" s="144">
        <f>Y23</f>
        <v>12983</v>
      </c>
      <c r="AA23" s="144">
        <f>Z23</f>
        <v>12983</v>
      </c>
      <c r="AB23" s="144">
        <f>AA23</f>
        <v>12983</v>
      </c>
      <c r="AC23" s="144">
        <f>AB23</f>
        <v>12983</v>
      </c>
      <c r="AD23" s="144">
        <f>AC23</f>
        <v>12983</v>
      </c>
      <c r="AE23" s="144">
        <f>AD23</f>
        <v>12983</v>
      </c>
    </row>
    <row r="24" spans="1:49" s="154" customFormat="1" ht="18.75" customHeight="1">
      <c r="A24" s="151"/>
      <c r="B24" s="204" t="s">
        <v>318</v>
      </c>
      <c r="C24" s="152"/>
      <c r="D24" s="134">
        <v>-2886</v>
      </c>
      <c r="E24" s="134">
        <v>-3425</v>
      </c>
      <c r="F24" s="134">
        <v>-3738</v>
      </c>
      <c r="G24" s="135">
        <f>K24/4</f>
        <v>-1262</v>
      </c>
      <c r="H24" s="135">
        <f>G24</f>
        <v>-1262</v>
      </c>
      <c r="I24" s="135">
        <f>H24</f>
        <v>-1262</v>
      </c>
      <c r="J24" s="135">
        <f>I24</f>
        <v>-1262</v>
      </c>
      <c r="K24" s="134">
        <v>-5048</v>
      </c>
      <c r="L24" s="135">
        <f>P24/4</f>
        <v>-1293.25</v>
      </c>
      <c r="M24" s="135">
        <f>L24</f>
        <v>-1293.25</v>
      </c>
      <c r="N24" s="135">
        <f>M24</f>
        <v>-1293.25</v>
      </c>
      <c r="O24" s="135">
        <f>N24</f>
        <v>-1293.25</v>
      </c>
      <c r="P24" s="134">
        <v>-5173</v>
      </c>
      <c r="Q24" s="135">
        <f>U24/4</f>
        <v>-1425.5</v>
      </c>
      <c r="R24" s="135">
        <f>Q24</f>
        <v>-1425.5</v>
      </c>
      <c r="S24" s="135">
        <f>R24</f>
        <v>-1425.5</v>
      </c>
      <c r="T24" s="135">
        <f>S24</f>
        <v>-1425.5</v>
      </c>
      <c r="U24" s="134">
        <v>-5702</v>
      </c>
      <c r="V24" s="135">
        <v>-5702</v>
      </c>
      <c r="W24" s="158">
        <f>T24</f>
        <v>-1425.5</v>
      </c>
      <c r="X24" s="158">
        <f>W24</f>
        <v>-1425.5</v>
      </c>
      <c r="Y24" s="158">
        <f>X24</f>
        <v>-1425.5</v>
      </c>
      <c r="Z24" s="158">
        <f>V24</f>
        <v>-5702</v>
      </c>
      <c r="AA24" s="158">
        <f>Z24</f>
        <v>-5702</v>
      </c>
      <c r="AB24" s="158">
        <f>AA24</f>
        <v>-5702</v>
      </c>
      <c r="AC24" s="158">
        <f>AB24</f>
        <v>-5702</v>
      </c>
      <c r="AD24" s="158">
        <f>AC24</f>
        <v>-5702</v>
      </c>
      <c r="AE24" s="158">
        <f>AD24</f>
        <v>-5702</v>
      </c>
      <c r="AF24" s="1"/>
      <c r="AG24" s="170"/>
      <c r="AH24" s="170"/>
      <c r="AI24" s="170"/>
      <c r="AJ24" s="178"/>
      <c r="AK24" s="169"/>
      <c r="AL24" s="739"/>
      <c r="AM24" s="739"/>
      <c r="AN24" s="739"/>
      <c r="AO24" s="179"/>
      <c r="AP24" s="178"/>
      <c r="AQ24" s="169"/>
      <c r="AR24" s="739"/>
      <c r="AS24" s="739"/>
      <c r="AT24" s="739"/>
      <c r="AU24" s="179"/>
      <c r="AV24" s="178"/>
      <c r="AW24" s="169"/>
    </row>
    <row r="25" spans="1:49" s="154" customFormat="1" ht="15" customHeight="1">
      <c r="B25" s="71"/>
      <c r="V25" s="206"/>
      <c r="W25" s="206"/>
      <c r="X25" s="206"/>
      <c r="Y25" s="206"/>
      <c r="Z25" s="206"/>
      <c r="AA25" s="206"/>
      <c r="AB25" s="206"/>
      <c r="AC25" s="206"/>
      <c r="AD25" s="206"/>
    </row>
    <row r="28" spans="1:49" ht="15" customHeight="1">
      <c r="V28" s="153"/>
      <c r="W28" s="153"/>
      <c r="X28" s="153"/>
      <c r="Y28" s="153"/>
      <c r="Z28" s="153"/>
      <c r="AA28" s="153"/>
      <c r="AB28" s="153"/>
      <c r="AC28" s="153"/>
      <c r="AD28" s="153"/>
    </row>
  </sheetData>
  <mergeCells count="7">
    <mergeCell ref="AL24:AN24"/>
    <mergeCell ref="AR24:AT24"/>
    <mergeCell ref="A5:C5"/>
    <mergeCell ref="AL19:AN19"/>
    <mergeCell ref="AR19:AT19"/>
    <mergeCell ref="AL21:AN21"/>
    <mergeCell ref="AR21:AT21"/>
  </mergeCells>
  <pageMargins left="0.7" right="0.7" top="0.75" bottom="0.75"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31013"/>
  </sheetPr>
  <dimension ref="D5:H15"/>
  <sheetViews>
    <sheetView showGridLines="0" zoomScale="193" zoomScaleNormal="193" workbookViewId="0">
      <selection activeCell="E16" sqref="E16"/>
    </sheetView>
  </sheetViews>
  <sheetFormatPr defaultColWidth="9.75" defaultRowHeight="14.25"/>
  <cols>
    <col min="1" max="3" width="9.75" style="207"/>
    <col min="4" max="4" width="24.125" style="207" customWidth="1"/>
    <col min="5" max="5" width="23.625" style="207" customWidth="1"/>
    <col min="6" max="16384" width="9.75" style="207"/>
  </cols>
  <sheetData>
    <row r="5" spans="4:8" ht="15" customHeight="1">
      <c r="D5" s="208" t="s">
        <v>319</v>
      </c>
      <c r="E5" s="209" t="s">
        <v>320</v>
      </c>
      <c r="F5" s="210" t="s">
        <v>321</v>
      </c>
    </row>
    <row r="6" spans="4:8" ht="15" customHeight="1">
      <c r="D6" s="211" t="s">
        <v>322</v>
      </c>
      <c r="E6" s="212">
        <v>2.23E-2</v>
      </c>
      <c r="F6" s="213">
        <v>2000</v>
      </c>
      <c r="G6" s="214"/>
      <c r="H6" s="214"/>
    </row>
    <row r="7" spans="4:8" ht="15" customHeight="1">
      <c r="D7" s="211" t="s">
        <v>323</v>
      </c>
      <c r="E7" s="212">
        <v>1.66E-2</v>
      </c>
      <c r="F7" s="213">
        <v>9000</v>
      </c>
    </row>
    <row r="8" spans="4:8" ht="15" customHeight="1">
      <c r="D8" s="211" t="s">
        <v>324</v>
      </c>
      <c r="E8" s="212">
        <v>4.8899999999999999E-2</v>
      </c>
      <c r="F8" s="213">
        <v>5000</v>
      </c>
    </row>
    <row r="9" spans="4:8" ht="15" customHeight="1">
      <c r="D9" s="211" t="s">
        <v>324</v>
      </c>
      <c r="E9" s="212">
        <v>4.9200000000000001E-2</v>
      </c>
      <c r="F9" s="213">
        <v>17500</v>
      </c>
    </row>
    <row r="10" spans="4:8" ht="15" customHeight="1">
      <c r="D10" s="211" t="s">
        <v>325</v>
      </c>
      <c r="E10" s="212">
        <v>3.3099999999999997E-2</v>
      </c>
      <c r="F10" s="215">
        <v>7939.5283018867904</v>
      </c>
    </row>
    <row r="11" spans="4:8" ht="15" customHeight="1">
      <c r="D11" s="211" t="s">
        <v>325</v>
      </c>
      <c r="E11" s="212">
        <v>3.44E-2</v>
      </c>
      <c r="F11" s="215">
        <v>7645.4716981132096</v>
      </c>
    </row>
    <row r="12" spans="4:8" ht="15" customHeight="1">
      <c r="D12" s="211" t="s">
        <v>326</v>
      </c>
      <c r="E12" s="212">
        <v>4.7E-2</v>
      </c>
      <c r="F12" s="213">
        <v>20000</v>
      </c>
    </row>
    <row r="13" spans="4:8" ht="15" customHeight="1">
      <c r="D13" s="211" t="s">
        <v>327</v>
      </c>
      <c r="E13" s="212">
        <v>5.1299999999999998E-2</v>
      </c>
      <c r="F13" s="213">
        <v>7310</v>
      </c>
    </row>
    <row r="14" spans="4:8" ht="15" customHeight="1">
      <c r="D14" s="211" t="s">
        <v>328</v>
      </c>
      <c r="E14" s="216">
        <v>1.21E-2</v>
      </c>
      <c r="F14" s="217">
        <v>3833</v>
      </c>
    </row>
    <row r="15" spans="4:8" ht="15" customHeight="1">
      <c r="D15" s="218" t="s">
        <v>329</v>
      </c>
      <c r="E15" s="219">
        <f>SUMPRODUCT(F6:F14,E6:E14)/F15</f>
        <v>3.9720358393672377E-2</v>
      </c>
      <c r="F15" s="220">
        <f>SUM(F6:F14)</f>
        <v>80228</v>
      </c>
    </row>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EA2FC-B837-44EE-ADE3-55FDF673202B}">
  <sheetPr>
    <tabColor rgb="FFFFC000"/>
  </sheetPr>
  <dimension ref="A1:AW28"/>
  <sheetViews>
    <sheetView showGridLines="0" zoomScale="85" zoomScaleNormal="85" workbookViewId="0">
      <pane xSplit="3" ySplit="5" topLeftCell="R6" activePane="bottomRight" state="frozen"/>
      <selection pane="bottomRight" activeCell="AA17" sqref="AA17"/>
      <selection pane="bottomLeft" activeCell="A6" sqref="A6"/>
      <selection pane="topRight" activeCell="D1" sqref="D1"/>
    </sheetView>
  </sheetViews>
  <sheetFormatPr defaultColWidth="8.5" defaultRowHeight="15"/>
  <cols>
    <col min="1" max="1" width="2" customWidth="1"/>
    <col min="2" max="2" width="9" bestFit="1" customWidth="1"/>
    <col min="3" max="3" width="20.125" customWidth="1"/>
    <col min="4" max="4" width="11.875" customWidth="1"/>
    <col min="5" max="6" width="9" bestFit="1" customWidth="1"/>
    <col min="7" max="9" width="9" customWidth="1"/>
    <col min="10" max="10" width="9.5" customWidth="1"/>
    <col min="11" max="11" width="12.5" customWidth="1"/>
    <col min="12" max="18" width="9.5" customWidth="1"/>
    <col min="19" max="20" width="9.625" bestFit="1" customWidth="1"/>
    <col min="21" max="21" width="10" customWidth="1"/>
    <col min="22" max="22" width="9.625" bestFit="1" customWidth="1"/>
    <col min="23" max="25" width="9" bestFit="1" customWidth="1"/>
    <col min="26" max="29" width="9.5" customWidth="1"/>
    <col min="30" max="30" width="10.25" customWidth="1"/>
    <col min="31" max="31" width="10.625" customWidth="1"/>
  </cols>
  <sheetData>
    <row r="1" spans="1:40" ht="15" customHeight="1">
      <c r="A1" s="599"/>
      <c r="K1" s="600" t="s">
        <v>50</v>
      </c>
    </row>
    <row r="2" spans="1:40" ht="15.75" customHeight="1">
      <c r="K2" s="601" t="s">
        <v>51</v>
      </c>
    </row>
    <row r="3" spans="1:40" ht="15" customHeight="1">
      <c r="K3" s="602" t="s">
        <v>52</v>
      </c>
      <c r="AE3" s="154"/>
    </row>
    <row r="5" spans="1:40" ht="15" customHeight="1">
      <c r="A5" s="757" t="s">
        <v>330</v>
      </c>
      <c r="B5" s="757"/>
      <c r="C5" s="757"/>
      <c r="D5" s="603">
        <v>2020</v>
      </c>
      <c r="E5" s="603">
        <v>2021</v>
      </c>
      <c r="F5" s="603">
        <v>2022</v>
      </c>
      <c r="G5" s="604" t="s">
        <v>26</v>
      </c>
      <c r="H5" s="604" t="s">
        <v>27</v>
      </c>
      <c r="I5" s="604" t="s">
        <v>28</v>
      </c>
      <c r="J5" s="604" t="s">
        <v>29</v>
      </c>
      <c r="K5" s="603">
        <v>2023</v>
      </c>
      <c r="L5" s="604" t="s">
        <v>30</v>
      </c>
      <c r="M5" s="604" t="s">
        <v>31</v>
      </c>
      <c r="N5" s="604" t="s">
        <v>32</v>
      </c>
      <c r="O5" s="604" t="s">
        <v>33</v>
      </c>
      <c r="P5" s="603">
        <v>2024</v>
      </c>
      <c r="Q5" s="604" t="s">
        <v>34</v>
      </c>
      <c r="R5" s="604" t="s">
        <v>35</v>
      </c>
      <c r="S5" s="604" t="s">
        <v>36</v>
      </c>
      <c r="T5" s="604" t="s">
        <v>37</v>
      </c>
      <c r="U5" s="603">
        <v>2025</v>
      </c>
      <c r="V5" s="603" t="s">
        <v>38</v>
      </c>
      <c r="W5" s="605" t="s">
        <v>58</v>
      </c>
      <c r="X5" s="605" t="s">
        <v>59</v>
      </c>
      <c r="Y5" s="605" t="s">
        <v>60</v>
      </c>
      <c r="Z5" s="605">
        <v>2026</v>
      </c>
      <c r="AA5" s="605">
        <v>2027</v>
      </c>
      <c r="AB5" s="605">
        <v>2028</v>
      </c>
      <c r="AC5" s="605">
        <v>2029</v>
      </c>
      <c r="AD5" s="605">
        <v>2030</v>
      </c>
      <c r="AE5" s="605">
        <v>2031</v>
      </c>
    </row>
    <row r="6" spans="1:40" ht="18.75" customHeight="1">
      <c r="A6" s="631" t="s">
        <v>331</v>
      </c>
      <c r="B6" s="606"/>
      <c r="C6" s="606"/>
      <c r="D6" s="607">
        <f>'CFS - Estimates'!D9</f>
        <v>13697</v>
      </c>
      <c r="E6" s="607">
        <f>'CFS - Estimates'!E9</f>
        <v>12441</v>
      </c>
      <c r="F6" s="607">
        <f>'CFS - Estimates'!F9</f>
        <v>15928</v>
      </c>
      <c r="G6" s="630">
        <f>'CFS - Estimates'!G9</f>
        <v>3186</v>
      </c>
      <c r="H6" s="630">
        <f>'CFS - Estimates'!H9</f>
        <v>3397</v>
      </c>
      <c r="I6" s="630">
        <f>'CFS - Estimates'!I9</f>
        <v>3800</v>
      </c>
      <c r="J6" s="630">
        <f>'CFS - Estimates'!J9</f>
        <v>1563</v>
      </c>
      <c r="K6" s="607">
        <f>'CFS - Estimates'!K9</f>
        <v>11946</v>
      </c>
      <c r="L6" s="630">
        <f>'CFS - Estimates'!L9</f>
        <v>3413</v>
      </c>
      <c r="M6" s="630">
        <f>'CFS - Estimates'!M9</f>
        <v>3708</v>
      </c>
      <c r="N6" s="630">
        <f>'CFS - Estimates'!N9</f>
        <v>3985</v>
      </c>
      <c r="O6" s="630">
        <f>'CFS - Estimates'!O9</f>
        <v>4205</v>
      </c>
      <c r="P6" s="607">
        <f>'CFS - Estimates'!P9</f>
        <v>15311</v>
      </c>
      <c r="Q6" s="630">
        <f>'CFS - Estimates'!Q9</f>
        <v>4487</v>
      </c>
      <c r="R6" s="630">
        <f>'CFS - Estimates'!R9</f>
        <v>4998</v>
      </c>
      <c r="S6" s="630">
        <f>'CFS - Estimates'!S9</f>
        <v>5611</v>
      </c>
      <c r="T6" s="630">
        <f>'CFS - Estimates'!T9</f>
        <v>6040</v>
      </c>
      <c r="U6" s="607">
        <f>'CFS - Estimates'!U9</f>
        <v>21136</v>
      </c>
      <c r="V6" s="630">
        <f>'CFS - Estimates'!V9</f>
        <v>6482</v>
      </c>
      <c r="W6" s="641">
        <f>W7*W8</f>
        <v>5975.5482286500001</v>
      </c>
      <c r="X6" s="641">
        <f>X7*X8</f>
        <v>6741.6759879969504</v>
      </c>
      <c r="Y6" s="641">
        <f>Y7*Y8</f>
        <v>7670.4292993719901</v>
      </c>
      <c r="Z6" s="641">
        <f>SUM(V6:Y6)</f>
        <v>26869.653516018941</v>
      </c>
      <c r="AA6" s="641">
        <f>AA7*AA8</f>
        <v>31646.229610813079</v>
      </c>
      <c r="AB6" s="641">
        <f>AB7*AB8</f>
        <v>37489.352056643016</v>
      </c>
      <c r="AC6" s="641">
        <f>AC7*AC8</f>
        <v>43046.211637374698</v>
      </c>
      <c r="AD6" s="641">
        <f>AD7*AD8</f>
        <v>48451.581434778003</v>
      </c>
      <c r="AE6" s="641">
        <f>AE7*AE8</f>
        <v>53395.394303324487</v>
      </c>
    </row>
    <row r="7" spans="1:40" ht="18.75" customHeight="1">
      <c r="A7" s="599"/>
      <c r="B7" s="599" t="s">
        <v>116</v>
      </c>
      <c r="C7" s="606"/>
      <c r="D7" s="618">
        <f>'Income Statement'!D6</f>
        <v>182527</v>
      </c>
      <c r="E7" s="618">
        <f>'Income Statement'!E6</f>
        <v>257637</v>
      </c>
      <c r="F7" s="618">
        <f>'Income Statement'!J6</f>
        <v>282836</v>
      </c>
      <c r="G7" s="632">
        <f>'Income Statement'!K6</f>
        <v>69787</v>
      </c>
      <c r="H7" s="632">
        <f>'Income Statement'!L6</f>
        <v>74604</v>
      </c>
      <c r="I7" s="632">
        <f>'Income Statement'!M6</f>
        <v>76693</v>
      </c>
      <c r="J7" s="632">
        <f>'Income Statement'!N6</f>
        <v>86310</v>
      </c>
      <c r="K7" s="618">
        <f>'Income Statement'!O6</f>
        <v>307394</v>
      </c>
      <c r="L7" s="632">
        <f>'Income Statement'!P6</f>
        <v>80539</v>
      </c>
      <c r="M7" s="632">
        <f>'Income Statement'!Q6</f>
        <v>84742</v>
      </c>
      <c r="N7" s="632">
        <f>'Income Statement'!R6</f>
        <v>88268</v>
      </c>
      <c r="O7" s="632">
        <f>'Income Statement'!S6</f>
        <v>96469</v>
      </c>
      <c r="P7" s="618">
        <f>'Income Statement'!T6</f>
        <v>350018</v>
      </c>
      <c r="Q7" s="632">
        <f>'Income Statement'!U6</f>
        <v>90234</v>
      </c>
      <c r="R7" s="632">
        <f>'Income Statement'!V6</f>
        <v>96428</v>
      </c>
      <c r="S7" s="632">
        <f>'Income Statement'!W6</f>
        <v>102346</v>
      </c>
      <c r="T7" s="632">
        <f>'Income Statement'!X6</f>
        <v>113828</v>
      </c>
      <c r="U7" s="618">
        <f>'Income Statement'!Y6</f>
        <v>402836</v>
      </c>
      <c r="V7" s="632">
        <f>'Income Statement'!Z6</f>
        <v>109896</v>
      </c>
      <c r="W7" s="640">
        <f>'Income Statement'!AA6</f>
        <v>119510.96457299999</v>
      </c>
      <c r="X7" s="640">
        <f>'Income Statement'!AB6</f>
        <v>134833.51975993899</v>
      </c>
      <c r="Y7" s="640">
        <f>'Income Statement'!AC6</f>
        <v>153408.58598743979</v>
      </c>
      <c r="Z7" s="640">
        <f>'Income Statement'!AD6</f>
        <v>517649.07032037876</v>
      </c>
      <c r="AA7" s="640">
        <f>'Income Statement'!AE6</f>
        <v>632924.59221626155</v>
      </c>
      <c r="AB7" s="640">
        <f>'Income Statement'!AF6</f>
        <v>749787.04113286035</v>
      </c>
      <c r="AC7" s="640">
        <f>'Income Statement'!AG6</f>
        <v>860924.23274749389</v>
      </c>
      <c r="AD7" s="640">
        <f>'Income Statement'!AH6</f>
        <v>969031.62869556004</v>
      </c>
      <c r="AE7" s="640">
        <f>'Income Statement'!AI6</f>
        <v>1067907.8860664896</v>
      </c>
    </row>
    <row r="8" spans="1:40" ht="18.75" customHeight="1">
      <c r="A8" s="599"/>
      <c r="B8" s="599" t="s">
        <v>332</v>
      </c>
      <c r="C8" s="606"/>
      <c r="D8" s="609">
        <f>D6/D7</f>
        <v>7.5040952845332465E-2</v>
      </c>
      <c r="E8" s="609">
        <f>E6/E7</f>
        <v>4.8288871551834561E-2</v>
      </c>
      <c r="F8" s="609">
        <f>F6/F7</f>
        <v>5.6315320539111001E-2</v>
      </c>
      <c r="G8" s="633">
        <f>G6/G7</f>
        <v>4.5653201885738029E-2</v>
      </c>
      <c r="H8" s="633">
        <f>H6/H7</f>
        <v>4.5533751541472309E-2</v>
      </c>
      <c r="I8" s="633">
        <f>I6/I7</f>
        <v>4.9548198662198638E-2</v>
      </c>
      <c r="J8" s="633">
        <f>J6/J7</f>
        <v>1.81091414668057E-2</v>
      </c>
      <c r="K8" s="609">
        <f>K6/K7</f>
        <v>3.8862176880485634E-2</v>
      </c>
      <c r="L8" s="633">
        <f>L6/L7</f>
        <v>4.2376985063137113E-2</v>
      </c>
      <c r="M8" s="633">
        <f>M6/M7</f>
        <v>4.3756342781619502E-2</v>
      </c>
      <c r="N8" s="633">
        <f>N6/N7</f>
        <v>4.51465989939729E-2</v>
      </c>
      <c r="O8" s="633">
        <f>O6/O7</f>
        <v>4.3589132260104281E-2</v>
      </c>
      <c r="P8" s="609">
        <f>P6/P7</f>
        <v>4.3743464621819446E-2</v>
      </c>
      <c r="Q8" s="633">
        <f>Q6/Q7</f>
        <v>4.9726267260677796E-2</v>
      </c>
      <c r="R8" s="633">
        <f>R6/R7</f>
        <v>5.1831418260256355E-2</v>
      </c>
      <c r="S8" s="633">
        <f>S6/S7</f>
        <v>5.4823832880620642E-2</v>
      </c>
      <c r="T8" s="633">
        <f>T6/T7</f>
        <v>5.3062515374073166E-2</v>
      </c>
      <c r="U8" s="609">
        <f>U6/U7</f>
        <v>5.2468001866764639E-2</v>
      </c>
      <c r="V8" s="633">
        <f>V6/V7</f>
        <v>5.8983038509135909E-2</v>
      </c>
      <c r="W8" s="620">
        <v>0.05</v>
      </c>
      <c r="X8" s="620">
        <v>0.05</v>
      </c>
      <c r="Y8" s="620">
        <v>0.05</v>
      </c>
      <c r="Z8" s="621"/>
      <c r="AA8" s="620">
        <v>0.05</v>
      </c>
      <c r="AB8" s="620">
        <v>0.05</v>
      </c>
      <c r="AC8" s="620">
        <v>0.05</v>
      </c>
      <c r="AD8" s="620">
        <v>0.05</v>
      </c>
      <c r="AE8" s="620">
        <v>0.05</v>
      </c>
      <c r="AF8" s="153"/>
      <c r="AG8" s="153"/>
      <c r="AH8" s="153"/>
      <c r="AI8" s="610"/>
      <c r="AJ8" s="610"/>
      <c r="AK8" s="610"/>
      <c r="AL8" s="610"/>
      <c r="AM8" s="610"/>
      <c r="AN8" s="610"/>
    </row>
    <row r="9" spans="1:40" ht="18.75" customHeight="1">
      <c r="A9" s="599"/>
      <c r="B9" s="599"/>
      <c r="C9" s="606"/>
      <c r="D9" s="85"/>
      <c r="E9" s="85"/>
      <c r="F9" s="85"/>
      <c r="G9" s="634"/>
      <c r="H9" s="634"/>
      <c r="I9" s="634"/>
      <c r="J9" s="634"/>
      <c r="K9" s="611"/>
      <c r="L9" s="634"/>
      <c r="M9" s="634"/>
      <c r="N9" s="634"/>
      <c r="O9" s="634"/>
      <c r="P9" s="611"/>
      <c r="Q9" s="634"/>
      <c r="R9" s="634"/>
      <c r="S9" s="634"/>
      <c r="T9" s="634"/>
      <c r="U9" s="611"/>
      <c r="V9" s="636"/>
      <c r="W9" s="88"/>
      <c r="X9" s="88"/>
      <c r="Y9" s="88"/>
      <c r="Z9" s="88"/>
      <c r="AA9" s="88"/>
      <c r="AB9" s="88"/>
      <c r="AC9" s="88"/>
      <c r="AD9" s="88"/>
      <c r="AE9" s="88"/>
    </row>
    <row r="10" spans="1:40" ht="18.75" customHeight="1">
      <c r="A10" s="613" t="s">
        <v>95</v>
      </c>
      <c r="B10" s="614"/>
      <c r="C10" s="615"/>
      <c r="D10" s="616">
        <f>BS!D16</f>
        <v>84749</v>
      </c>
      <c r="E10" s="616">
        <f>BS!E16</f>
        <v>97599</v>
      </c>
      <c r="F10" s="616">
        <f>BS!F16</f>
        <v>112668</v>
      </c>
      <c r="G10" s="635">
        <f>BS!G16</f>
        <v>117560</v>
      </c>
      <c r="H10" s="635">
        <f>BS!H16</f>
        <v>121208</v>
      </c>
      <c r="I10" s="635">
        <f>BS!I16</f>
        <v>125705</v>
      </c>
      <c r="J10" s="635">
        <f>BS!J16</f>
        <v>134345</v>
      </c>
      <c r="K10" s="616">
        <f>BS!K16</f>
        <v>134345</v>
      </c>
      <c r="L10" s="635">
        <f>BS!L16</f>
        <v>143182</v>
      </c>
      <c r="M10" s="635">
        <f>BS!M16</f>
        <v>151155</v>
      </c>
      <c r="N10" s="635">
        <f>BS!N16</f>
        <v>161270</v>
      </c>
      <c r="O10" s="635">
        <f>BS!O16</f>
        <v>171036</v>
      </c>
      <c r="P10" s="616">
        <f>BS!P16</f>
        <v>171036</v>
      </c>
      <c r="Q10" s="635">
        <f>BS!Q16</f>
        <v>185062</v>
      </c>
      <c r="R10" s="635">
        <f>BS!R16</f>
        <v>203231</v>
      </c>
      <c r="S10" s="635">
        <f>BS!S16</f>
        <v>223787</v>
      </c>
      <c r="T10" s="635">
        <f>BS!T16</f>
        <v>246597</v>
      </c>
      <c r="U10" s="616">
        <f>BS!U16</f>
        <v>246597</v>
      </c>
      <c r="V10" s="635">
        <f>BS!V16</f>
        <v>281020</v>
      </c>
      <c r="W10" s="617">
        <f>V10+W13-W6</f>
        <v>319263.50866335997</v>
      </c>
      <c r="X10" s="617">
        <f>W10+X13-X6</f>
        <v>366455.24057933863</v>
      </c>
      <c r="Y10" s="617">
        <f>X10+Y13-Y6</f>
        <v>432420.93255393772</v>
      </c>
      <c r="Z10" s="617">
        <f>Y10</f>
        <v>432420.93255393772</v>
      </c>
      <c r="AA10" s="617">
        <f>Z10+AA13-AA6</f>
        <v>653944.53982962924</v>
      </c>
      <c r="AB10" s="617">
        <f>AA10+AB13-AB6</f>
        <v>878880.65216948744</v>
      </c>
      <c r="AC10" s="617">
        <f>AB10+AC13-AC6</f>
        <v>1094111.710356361</v>
      </c>
      <c r="AD10" s="617">
        <f>AC10+AD13-AD6</f>
        <v>1239466.454660695</v>
      </c>
      <c r="AE10" s="617">
        <f>AD10+AE13-AE6</f>
        <v>1346257.2432673441</v>
      </c>
    </row>
    <row r="11" spans="1:40" ht="18.75" customHeight="1">
      <c r="A11" s="599"/>
      <c r="B11" s="599"/>
      <c r="C11" s="606"/>
      <c r="D11" s="618"/>
      <c r="E11" s="618"/>
      <c r="F11" s="618"/>
      <c r="G11" s="610"/>
      <c r="H11" s="610"/>
      <c r="I11" s="610"/>
      <c r="J11" s="610"/>
      <c r="K11" s="618"/>
      <c r="L11" s="610"/>
      <c r="M11" s="610"/>
      <c r="N11" s="610"/>
      <c r="O11" s="610"/>
      <c r="P11" s="618"/>
      <c r="Q11" s="610"/>
      <c r="R11" s="610"/>
      <c r="S11" s="610"/>
      <c r="T11" s="610"/>
      <c r="U11" s="618"/>
      <c r="V11" s="610"/>
      <c r="W11" s="643"/>
      <c r="X11" s="643"/>
      <c r="Y11" s="643"/>
      <c r="Z11" s="643"/>
      <c r="AA11" s="643"/>
      <c r="AB11" s="643"/>
      <c r="AC11" s="643"/>
      <c r="AD11" s="643"/>
      <c r="AE11" s="643"/>
    </row>
    <row r="12" spans="1:40" ht="19.5" customHeight="1">
      <c r="A12" s="599"/>
      <c r="B12" s="599"/>
      <c r="C12" s="606"/>
      <c r="D12" s="611"/>
      <c r="E12" s="611"/>
      <c r="F12" s="611"/>
      <c r="G12" s="612"/>
      <c r="H12" s="612"/>
      <c r="I12" s="612"/>
      <c r="J12" s="612"/>
      <c r="K12" s="611"/>
      <c r="L12" s="612"/>
      <c r="M12" s="612"/>
      <c r="N12" s="612"/>
      <c r="O12" s="612"/>
      <c r="P12" s="611"/>
      <c r="Q12" s="612"/>
      <c r="R12" s="612"/>
      <c r="S12" s="612"/>
      <c r="T12" s="612"/>
      <c r="U12" s="611"/>
      <c r="V12" s="612"/>
      <c r="W12" s="640"/>
      <c r="X12" s="640"/>
      <c r="Y12" s="640"/>
      <c r="Z12" s="640"/>
      <c r="AA12" s="640"/>
      <c r="AB12" s="640"/>
      <c r="AC12" s="640"/>
      <c r="AD12" s="640"/>
      <c r="AE12" s="640"/>
      <c r="AF12" s="619"/>
    </row>
    <row r="13" spans="1:40" ht="19.5" customHeight="1">
      <c r="A13" s="631" t="s">
        <v>333</v>
      </c>
      <c r="B13" s="631"/>
      <c r="C13" s="606"/>
      <c r="D13" s="611"/>
      <c r="E13" s="618">
        <f>E10-D10+E6</f>
        <v>25291</v>
      </c>
      <c r="F13" s="618">
        <f>F10-E10+F6</f>
        <v>30997</v>
      </c>
      <c r="G13" s="632">
        <f>G10-F10+G6</f>
        <v>8078</v>
      </c>
      <c r="H13" s="632">
        <f>H10-G10+H6</f>
        <v>7045</v>
      </c>
      <c r="I13" s="632">
        <f>I10-H10+I6</f>
        <v>8297</v>
      </c>
      <c r="J13" s="632">
        <f>J10-I10+J6</f>
        <v>10203</v>
      </c>
      <c r="K13" s="618">
        <f>SUM(G13:J13)</f>
        <v>33623</v>
      </c>
      <c r="L13" s="632">
        <f>L10-K10+L6</f>
        <v>12250</v>
      </c>
      <c r="M13" s="632">
        <f>M10-L10+M6</f>
        <v>11681</v>
      </c>
      <c r="N13" s="632">
        <f>N10-M10+N6</f>
        <v>14100</v>
      </c>
      <c r="O13" s="632">
        <f>O10-N10+O6</f>
        <v>13971</v>
      </c>
      <c r="P13" s="618">
        <f>SUM(L13:O13)</f>
        <v>52002</v>
      </c>
      <c r="Q13" s="632">
        <f>Q10-P10+Q6</f>
        <v>18513</v>
      </c>
      <c r="R13" s="632">
        <f>R10-Q10+R6</f>
        <v>23167</v>
      </c>
      <c r="S13" s="632">
        <f>S10-R10+S6</f>
        <v>26167</v>
      </c>
      <c r="T13" s="632">
        <f>T10-S10+T6</f>
        <v>28850</v>
      </c>
      <c r="U13" s="618">
        <f>SUM(Q13:T13)</f>
        <v>96697</v>
      </c>
      <c r="V13" s="632">
        <f>V10-U10+V6</f>
        <v>40905</v>
      </c>
      <c r="W13" s="640">
        <f>W14*W7</f>
        <v>44219.056892009998</v>
      </c>
      <c r="X13" s="640">
        <f>X14*X7</f>
        <v>53933.407903975603</v>
      </c>
      <c r="Y13" s="640">
        <f>Y14*Y7</f>
        <v>73636.12127397109</v>
      </c>
      <c r="Z13" s="640">
        <f>SUM(V13:Y13)</f>
        <v>212693.58606995671</v>
      </c>
      <c r="AA13" s="640">
        <f>AA14*AA7</f>
        <v>253169.83688650464</v>
      </c>
      <c r="AB13" s="640">
        <f>AB14*AB7</f>
        <v>262425.46439650113</v>
      </c>
      <c r="AC13" s="640">
        <f>AC14*AC7</f>
        <v>258277.26982424816</v>
      </c>
      <c r="AD13" s="640">
        <f>AD14*AD7</f>
        <v>193806.32573911201</v>
      </c>
      <c r="AE13" s="640">
        <f>AE14*AE7</f>
        <v>160186.18290997343</v>
      </c>
    </row>
    <row r="14" spans="1:40" ht="18.75" customHeight="1">
      <c r="A14" s="599"/>
      <c r="B14" s="599" t="s">
        <v>334</v>
      </c>
      <c r="C14" s="606"/>
      <c r="D14" s="85"/>
      <c r="E14" s="609">
        <f>E13/E7</f>
        <v>9.8165248003974581E-2</v>
      </c>
      <c r="F14" s="609">
        <f>F13/F7</f>
        <v>0.10959354537611903</v>
      </c>
      <c r="G14" s="633">
        <f>G13/G7</f>
        <v>0.1157522174617049</v>
      </c>
      <c r="H14" s="633">
        <f>H13/H7</f>
        <v>9.443193394456062E-2</v>
      </c>
      <c r="I14" s="633">
        <f>I13/I7</f>
        <v>0.10818458007901634</v>
      </c>
      <c r="J14" s="633">
        <f>J13/J7</f>
        <v>0.11821341675356274</v>
      </c>
      <c r="K14" s="609">
        <f>K13/K7</f>
        <v>0.10938079468044269</v>
      </c>
      <c r="L14" s="633">
        <f>L13/L7</f>
        <v>0.15210022473584225</v>
      </c>
      <c r="M14" s="633">
        <f>M13/M7</f>
        <v>0.13784192018125604</v>
      </c>
      <c r="N14" s="633">
        <f>N13/N7</f>
        <v>0.1597407894140572</v>
      </c>
      <c r="O14" s="633">
        <f>O13/O7</f>
        <v>0.14482372575646063</v>
      </c>
      <c r="P14" s="609">
        <f>P13/P7</f>
        <v>0.14856950213988995</v>
      </c>
      <c r="Q14" s="633">
        <f>Q13/Q7</f>
        <v>0.20516656692599242</v>
      </c>
      <c r="R14" s="633">
        <f>R13/R7</f>
        <v>0.24025179408470568</v>
      </c>
      <c r="S14" s="633">
        <f>S13/S7</f>
        <v>0.25567193637269653</v>
      </c>
      <c r="T14" s="633">
        <f>T13/T7</f>
        <v>0.25345257757318057</v>
      </c>
      <c r="U14" s="609">
        <f>U13/U7</f>
        <v>0.24004061206049113</v>
      </c>
      <c r="V14" s="633">
        <f>V13/V7</f>
        <v>0.37221554924656036</v>
      </c>
      <c r="W14" s="620">
        <f>Scenarios!D59</f>
        <v>0.37</v>
      </c>
      <c r="X14" s="620">
        <f>Scenarios!E59</f>
        <v>0.4</v>
      </c>
      <c r="Y14" s="620">
        <f>Scenarios!F59</f>
        <v>0.48</v>
      </c>
      <c r="Z14" s="621"/>
      <c r="AA14" s="620">
        <f>Scenarios!G59</f>
        <v>0.4</v>
      </c>
      <c r="AB14" s="620">
        <f>Scenarios!H59</f>
        <v>0.35</v>
      </c>
      <c r="AC14" s="620">
        <f>Scenarios!I59</f>
        <v>0.3</v>
      </c>
      <c r="AD14" s="620">
        <f>Scenarios!J59</f>
        <v>0.2</v>
      </c>
      <c r="AE14" s="620">
        <f>Scenarios!K59</f>
        <v>0.15</v>
      </c>
    </row>
    <row r="15" spans="1:40" ht="19.5" customHeight="1">
      <c r="A15" s="599"/>
      <c r="B15" s="599"/>
      <c r="C15" s="606"/>
      <c r="D15" s="607"/>
      <c r="E15" s="607"/>
      <c r="F15" s="607"/>
      <c r="G15" s="608"/>
      <c r="H15" s="608"/>
      <c r="I15" s="608"/>
      <c r="J15" s="608"/>
      <c r="K15" s="607"/>
      <c r="L15" s="608"/>
      <c r="M15" s="608"/>
      <c r="N15" s="608"/>
      <c r="O15" s="608"/>
      <c r="P15" s="607"/>
      <c r="Q15" s="608"/>
      <c r="R15" s="608"/>
      <c r="S15" s="608"/>
      <c r="T15" s="608"/>
      <c r="U15" s="607"/>
      <c r="V15" s="608"/>
      <c r="W15" s="641"/>
      <c r="X15" s="641"/>
      <c r="Y15" s="641"/>
      <c r="Z15" s="641"/>
      <c r="AA15" s="641"/>
      <c r="AB15" s="641"/>
      <c r="AC15" s="641"/>
      <c r="AD15" s="641"/>
      <c r="AE15" s="641"/>
    </row>
    <row r="16" spans="1:40" ht="19.5" customHeight="1">
      <c r="A16" s="654"/>
      <c r="B16" s="655"/>
      <c r="C16" s="656"/>
      <c r="D16" s="657"/>
      <c r="E16" s="657"/>
      <c r="F16" s="657"/>
      <c r="G16" s="657"/>
      <c r="H16" s="657"/>
      <c r="I16" s="657"/>
      <c r="J16" s="657"/>
      <c r="K16" s="657"/>
      <c r="L16" s="657"/>
      <c r="M16" s="657"/>
      <c r="N16" s="657"/>
      <c r="O16" s="657"/>
      <c r="P16" s="657"/>
      <c r="Q16" s="657"/>
      <c r="R16" s="657"/>
      <c r="S16" s="657"/>
      <c r="T16" s="657"/>
      <c r="U16" s="657"/>
      <c r="V16" s="657"/>
      <c r="W16" s="658"/>
      <c r="X16" s="658"/>
      <c r="Y16" s="658"/>
      <c r="Z16" s="658"/>
      <c r="AA16" s="658"/>
      <c r="AB16" s="658"/>
      <c r="AC16" s="658"/>
      <c r="AD16" s="658"/>
      <c r="AE16" s="658"/>
    </row>
    <row r="17" spans="1:49" ht="19.5" customHeight="1">
      <c r="A17" s="644"/>
      <c r="B17" s="644"/>
      <c r="C17" s="645"/>
      <c r="D17" s="636"/>
      <c r="E17" s="636"/>
      <c r="F17" s="636"/>
      <c r="G17" s="636"/>
      <c r="H17" s="636"/>
      <c r="I17" s="636"/>
      <c r="J17" s="636"/>
      <c r="K17" s="636"/>
      <c r="L17" s="636"/>
      <c r="M17" s="636"/>
      <c r="N17" s="636"/>
      <c r="O17" s="636"/>
      <c r="P17" s="636"/>
      <c r="Q17" s="636"/>
      <c r="R17" s="636"/>
      <c r="S17" s="636"/>
      <c r="T17" s="636"/>
      <c r="U17" s="636"/>
      <c r="V17" s="636"/>
      <c r="W17" s="634"/>
      <c r="X17" s="634"/>
      <c r="Y17" s="634"/>
      <c r="Z17" s="634"/>
      <c r="AA17" s="634"/>
      <c r="AB17" s="634"/>
      <c r="AC17" s="634"/>
      <c r="AD17" s="634"/>
      <c r="AE17" s="634"/>
      <c r="AF17" s="646"/>
    </row>
    <row r="18" spans="1:49" ht="19.5" customHeight="1">
      <c r="A18" s="644"/>
      <c r="B18" s="644"/>
      <c r="C18" s="645"/>
      <c r="D18" s="630"/>
      <c r="E18" s="630"/>
      <c r="F18" s="630"/>
      <c r="G18" s="630"/>
      <c r="H18" s="630"/>
      <c r="I18" s="630"/>
      <c r="J18" s="630"/>
      <c r="K18" s="630"/>
      <c r="L18" s="630"/>
      <c r="M18" s="630"/>
      <c r="N18" s="630"/>
      <c r="O18" s="630"/>
      <c r="P18" s="630"/>
      <c r="Q18" s="630"/>
      <c r="R18" s="630"/>
      <c r="S18" s="630"/>
      <c r="T18" s="630"/>
      <c r="U18" s="630"/>
      <c r="V18" s="630"/>
      <c r="W18" s="630"/>
      <c r="X18" s="630"/>
      <c r="Y18" s="630"/>
      <c r="Z18" s="630"/>
      <c r="AA18" s="630"/>
      <c r="AB18" s="630"/>
      <c r="AC18" s="630"/>
      <c r="AD18" s="630"/>
      <c r="AE18" s="630"/>
      <c r="AF18" s="646"/>
    </row>
    <row r="19" spans="1:49" s="154" customFormat="1" ht="18.75" customHeight="1">
      <c r="A19" s="644"/>
      <c r="B19" s="647"/>
      <c r="C19" s="645"/>
      <c r="D19" s="633"/>
      <c r="E19" s="633"/>
      <c r="F19" s="633"/>
      <c r="G19" s="633"/>
      <c r="H19" s="633"/>
      <c r="I19" s="633"/>
      <c r="J19" s="633"/>
      <c r="K19" s="633"/>
      <c r="L19" s="633"/>
      <c r="M19" s="633"/>
      <c r="N19" s="633"/>
      <c r="O19" s="633"/>
      <c r="P19" s="633"/>
      <c r="Q19" s="633"/>
      <c r="R19" s="633"/>
      <c r="S19" s="633"/>
      <c r="T19" s="633"/>
      <c r="U19" s="633"/>
      <c r="V19" s="633"/>
      <c r="W19" s="648"/>
      <c r="X19" s="648"/>
      <c r="Y19" s="648"/>
      <c r="Z19" s="648"/>
      <c r="AA19" s="648"/>
      <c r="AB19" s="648"/>
      <c r="AC19" s="648"/>
      <c r="AD19" s="648"/>
      <c r="AE19" s="648"/>
      <c r="AF19" s="649"/>
      <c r="AG19" s="622"/>
      <c r="AH19" s="622"/>
      <c r="AI19" s="623"/>
      <c r="AJ19" s="623"/>
      <c r="AK19" s="624"/>
      <c r="AL19" s="756"/>
      <c r="AM19" s="756"/>
      <c r="AN19" s="756"/>
      <c r="AO19" s="623"/>
      <c r="AP19" s="623"/>
      <c r="AQ19" s="624"/>
      <c r="AR19" s="756"/>
      <c r="AS19" s="756"/>
      <c r="AT19" s="756"/>
      <c r="AU19" s="623"/>
      <c r="AV19" s="623"/>
      <c r="AW19" s="624"/>
    </row>
    <row r="20" spans="1:49" s="154" customFormat="1" ht="18.75" customHeight="1">
      <c r="A20" s="644"/>
      <c r="B20" s="647"/>
      <c r="C20" s="645"/>
      <c r="D20" s="633"/>
      <c r="E20" s="633"/>
      <c r="F20" s="633"/>
      <c r="G20" s="633"/>
      <c r="H20" s="633"/>
      <c r="I20" s="633"/>
      <c r="J20" s="633"/>
      <c r="K20" s="633"/>
      <c r="L20" s="633"/>
      <c r="M20" s="633"/>
      <c r="N20" s="633"/>
      <c r="O20" s="633"/>
      <c r="P20" s="633"/>
      <c r="Q20" s="633"/>
      <c r="R20" s="633"/>
      <c r="S20" s="633"/>
      <c r="T20" s="633"/>
      <c r="U20" s="633"/>
      <c r="V20" s="633"/>
      <c r="W20" s="648"/>
      <c r="X20" s="648"/>
      <c r="Y20" s="648"/>
      <c r="Z20" s="648"/>
      <c r="AA20" s="648"/>
      <c r="AB20" s="648"/>
      <c r="AC20" s="648"/>
      <c r="AD20" s="648"/>
      <c r="AE20" s="648"/>
      <c r="AF20" s="649"/>
      <c r="AG20" s="622"/>
      <c r="AH20" s="622"/>
      <c r="AI20" s="623"/>
      <c r="AJ20" s="623"/>
      <c r="AK20" s="624"/>
      <c r="AL20" s="625"/>
      <c r="AM20" s="625"/>
      <c r="AN20" s="625"/>
      <c r="AO20" s="623"/>
      <c r="AP20" s="623"/>
      <c r="AQ20" s="624"/>
      <c r="AR20" s="625"/>
      <c r="AS20" s="625"/>
      <c r="AT20" s="625"/>
      <c r="AU20" s="623"/>
      <c r="AV20" s="623"/>
      <c r="AW20" s="624"/>
    </row>
    <row r="21" spans="1:49" s="154" customFormat="1" ht="19.5" customHeight="1">
      <c r="A21" s="650"/>
      <c r="B21" s="645"/>
      <c r="C21" s="645"/>
      <c r="D21" s="636"/>
      <c r="E21" s="636"/>
      <c r="F21" s="636"/>
      <c r="G21" s="636"/>
      <c r="H21" s="636"/>
      <c r="I21" s="636"/>
      <c r="J21" s="636"/>
      <c r="K21" s="636"/>
      <c r="L21" s="636"/>
      <c r="M21" s="636"/>
      <c r="N21" s="636"/>
      <c r="O21" s="636"/>
      <c r="P21" s="636"/>
      <c r="Q21" s="636"/>
      <c r="R21" s="636"/>
      <c r="S21" s="636"/>
      <c r="T21" s="636"/>
      <c r="U21" s="636"/>
      <c r="V21" s="636"/>
      <c r="W21" s="634"/>
      <c r="X21" s="634"/>
      <c r="Y21" s="634"/>
      <c r="Z21" s="634"/>
      <c r="AA21" s="634"/>
      <c r="AB21" s="634"/>
      <c r="AC21" s="634"/>
      <c r="AD21" s="634"/>
      <c r="AE21" s="634"/>
      <c r="AF21" s="649"/>
      <c r="AG21" s="626"/>
      <c r="AH21" s="622"/>
      <c r="AI21" s="623"/>
      <c r="AJ21" s="623"/>
      <c r="AK21" s="624"/>
      <c r="AL21" s="756"/>
      <c r="AM21" s="756"/>
      <c r="AN21" s="756"/>
      <c r="AO21" s="623"/>
      <c r="AP21" s="623"/>
      <c r="AQ21" s="624"/>
      <c r="AR21" s="756"/>
      <c r="AS21" s="756"/>
      <c r="AT21" s="756"/>
      <c r="AU21" s="623"/>
      <c r="AV21" s="623"/>
      <c r="AW21" s="624"/>
    </row>
    <row r="22" spans="1:49" s="154" customFormat="1" ht="15" customHeight="1">
      <c r="A22" s="644"/>
      <c r="B22" s="644"/>
      <c r="C22" s="644"/>
      <c r="D22" s="651"/>
      <c r="E22" s="651"/>
      <c r="F22" s="651"/>
      <c r="G22" s="651"/>
      <c r="H22" s="651"/>
      <c r="I22" s="651"/>
      <c r="J22" s="651"/>
      <c r="K22" s="651"/>
      <c r="L22" s="651"/>
      <c r="M22" s="651"/>
      <c r="N22" s="651"/>
      <c r="O22" s="651"/>
      <c r="P22" s="651"/>
      <c r="Q22" s="651"/>
      <c r="R22" s="651"/>
      <c r="S22" s="651"/>
      <c r="T22" s="651"/>
      <c r="U22" s="651"/>
      <c r="V22" s="651"/>
      <c r="W22" s="634"/>
      <c r="X22" s="634"/>
      <c r="Y22" s="634"/>
      <c r="Z22" s="634"/>
      <c r="AA22" s="634"/>
      <c r="AB22" s="634"/>
      <c r="AC22" s="634"/>
      <c r="AD22" s="634"/>
      <c r="AE22" s="634"/>
      <c r="AF22" s="652"/>
      <c r="AG22" s="627"/>
    </row>
    <row r="23" spans="1:49" s="154" customFormat="1" ht="15.75" customHeight="1">
      <c r="A23" s="644"/>
      <c r="B23" s="644"/>
      <c r="C23" s="644"/>
      <c r="D23" s="630"/>
      <c r="E23" s="630"/>
      <c r="F23" s="630"/>
      <c r="G23" s="630"/>
      <c r="H23" s="630"/>
      <c r="I23" s="630"/>
      <c r="J23" s="630"/>
      <c r="K23" s="630"/>
      <c r="L23" s="630"/>
      <c r="M23" s="630"/>
      <c r="N23" s="630"/>
      <c r="O23" s="630"/>
      <c r="P23" s="630"/>
      <c r="Q23" s="630"/>
      <c r="R23" s="630"/>
      <c r="S23" s="630"/>
      <c r="T23" s="630"/>
      <c r="U23" s="630"/>
      <c r="V23" s="630"/>
      <c r="W23" s="630"/>
      <c r="X23" s="630"/>
      <c r="Y23" s="630"/>
      <c r="Z23" s="630"/>
      <c r="AA23" s="630"/>
      <c r="AB23" s="630"/>
      <c r="AC23" s="630"/>
      <c r="AD23" s="630"/>
      <c r="AE23" s="630"/>
      <c r="AF23" s="652"/>
    </row>
    <row r="24" spans="1:49" s="154" customFormat="1" ht="18.75" customHeight="1">
      <c r="A24" s="653"/>
      <c r="B24" s="647"/>
      <c r="C24" s="645"/>
      <c r="D24" s="636"/>
      <c r="E24" s="636"/>
      <c r="F24" s="636"/>
      <c r="G24" s="636"/>
      <c r="H24" s="636"/>
      <c r="I24" s="636"/>
      <c r="J24" s="636"/>
      <c r="K24" s="636"/>
      <c r="L24" s="636"/>
      <c r="M24" s="636"/>
      <c r="N24" s="636"/>
      <c r="O24" s="636"/>
      <c r="P24" s="636"/>
      <c r="Q24" s="636"/>
      <c r="R24" s="636"/>
      <c r="S24" s="636"/>
      <c r="T24" s="636"/>
      <c r="U24" s="636"/>
      <c r="V24" s="636"/>
      <c r="W24" s="632"/>
      <c r="X24" s="632"/>
      <c r="Y24" s="632"/>
      <c r="Z24" s="632"/>
      <c r="AA24" s="632"/>
      <c r="AB24" s="632"/>
      <c r="AC24" s="632"/>
      <c r="AD24" s="632"/>
      <c r="AE24" s="632"/>
      <c r="AF24" s="649"/>
      <c r="AG24" s="627"/>
      <c r="AH24" s="627"/>
      <c r="AI24" s="627"/>
      <c r="AJ24" s="628"/>
      <c r="AK24" s="624"/>
      <c r="AL24" s="756"/>
      <c r="AM24" s="756"/>
      <c r="AN24" s="756"/>
      <c r="AO24" s="629"/>
      <c r="AP24" s="628"/>
      <c r="AQ24" s="624"/>
      <c r="AR24" s="756"/>
      <c r="AS24" s="756"/>
      <c r="AT24" s="756"/>
      <c r="AU24" s="629"/>
      <c r="AV24" s="628"/>
      <c r="AW24" s="624"/>
    </row>
    <row r="25" spans="1:49" s="154" customFormat="1" ht="15" customHeight="1">
      <c r="A25" s="652"/>
      <c r="B25" s="644"/>
      <c r="C25" s="652"/>
      <c r="D25" s="652"/>
      <c r="E25" s="652"/>
      <c r="F25" s="652"/>
      <c r="G25" s="652"/>
      <c r="H25" s="652"/>
      <c r="I25" s="652"/>
      <c r="J25" s="652"/>
      <c r="K25" s="652"/>
      <c r="L25" s="652"/>
      <c r="M25" s="652"/>
      <c r="N25" s="652"/>
      <c r="O25" s="652"/>
      <c r="P25" s="652"/>
      <c r="Q25" s="652"/>
      <c r="R25" s="652"/>
      <c r="S25" s="652"/>
      <c r="T25" s="652"/>
      <c r="U25" s="652"/>
      <c r="V25" s="648"/>
      <c r="W25" s="648"/>
      <c r="X25" s="648"/>
      <c r="Y25" s="648"/>
      <c r="Z25" s="648"/>
      <c r="AA25" s="648"/>
      <c r="AB25" s="648"/>
      <c r="AC25" s="648"/>
      <c r="AD25" s="648"/>
      <c r="AE25" s="652"/>
      <c r="AF25" s="652"/>
    </row>
    <row r="26" spans="1:49">
      <c r="A26" s="646"/>
      <c r="B26" s="646"/>
      <c r="C26" s="646"/>
      <c r="D26" s="646"/>
      <c r="E26" s="646"/>
      <c r="F26" s="646"/>
      <c r="G26" s="646"/>
      <c r="H26" s="646"/>
      <c r="I26" s="646"/>
      <c r="J26" s="646"/>
      <c r="K26" s="646"/>
      <c r="L26" s="646"/>
      <c r="M26" s="646"/>
      <c r="N26" s="646"/>
      <c r="O26" s="646"/>
      <c r="P26" s="646"/>
      <c r="Q26" s="646"/>
      <c r="R26" s="646"/>
      <c r="S26" s="646"/>
      <c r="T26" s="646"/>
      <c r="U26" s="646"/>
      <c r="V26" s="646"/>
      <c r="W26" s="646"/>
      <c r="X26" s="646"/>
      <c r="Y26" s="646"/>
      <c r="Z26" s="646"/>
      <c r="AA26" s="646"/>
      <c r="AB26" s="646"/>
      <c r="AC26" s="646"/>
      <c r="AD26" s="646"/>
      <c r="AE26" s="646"/>
      <c r="AF26" s="646"/>
    </row>
    <row r="28" spans="1:49" ht="15" customHeight="1">
      <c r="V28" s="153"/>
      <c r="W28" s="153"/>
      <c r="X28" s="153"/>
      <c r="Y28" s="153"/>
      <c r="Z28" s="153"/>
      <c r="AA28" s="153"/>
      <c r="AB28" s="153"/>
      <c r="AC28" s="153"/>
      <c r="AD28" s="153"/>
    </row>
  </sheetData>
  <mergeCells count="7">
    <mergeCell ref="AL24:AN24"/>
    <mergeCell ref="AR24:AT24"/>
    <mergeCell ref="A5:C5"/>
    <mergeCell ref="AL19:AN19"/>
    <mergeCell ref="AR19:AT19"/>
    <mergeCell ref="AL21:AN21"/>
    <mergeCell ref="AR21:AT21"/>
  </mergeCells>
  <pageMargins left="0.7" right="0.7" top="0.75" bottom="0.75" header="0.511811023622047" footer="0.511811023622047"/>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F6:Q14"/>
  <sheetViews>
    <sheetView showGridLines="0" topLeftCell="F1" zoomScaleNormal="100" workbookViewId="0">
      <selection activeCell="K8" sqref="K8:M14"/>
    </sheetView>
  </sheetViews>
  <sheetFormatPr defaultColWidth="8.5" defaultRowHeight="14.25"/>
  <cols>
    <col min="6" max="6" width="37" customWidth="1"/>
    <col min="7" max="7" width="10.75" customWidth="1"/>
  </cols>
  <sheetData>
    <row r="6" spans="6:17">
      <c r="G6" s="758" t="s">
        <v>134</v>
      </c>
      <c r="H6" s="758"/>
      <c r="I6" s="758"/>
      <c r="K6" s="758" t="s">
        <v>133</v>
      </c>
      <c r="L6" s="758"/>
      <c r="M6" s="758"/>
      <c r="O6" s="758" t="s">
        <v>132</v>
      </c>
      <c r="P6" s="758"/>
      <c r="Q6" s="758"/>
    </row>
    <row r="7" spans="6:17">
      <c r="G7" t="s">
        <v>136</v>
      </c>
      <c r="H7" t="s">
        <v>137</v>
      </c>
      <c r="I7" t="s">
        <v>138</v>
      </c>
      <c r="K7" t="s">
        <v>136</v>
      </c>
      <c r="L7" t="s">
        <v>137</v>
      </c>
      <c r="M7" t="s">
        <v>138</v>
      </c>
      <c r="O7" t="s">
        <v>136</v>
      </c>
      <c r="P7" t="s">
        <v>137</v>
      </c>
      <c r="Q7" t="s">
        <v>138</v>
      </c>
    </row>
    <row r="8" spans="6:17">
      <c r="F8" t="s">
        <v>139</v>
      </c>
      <c r="G8" s="495">
        <v>10.99</v>
      </c>
      <c r="H8" s="495">
        <v>9.01</v>
      </c>
      <c r="I8" s="495">
        <v>7.31</v>
      </c>
      <c r="K8" s="495">
        <v>6.2</v>
      </c>
      <c r="L8" s="495">
        <v>5.17</v>
      </c>
      <c r="M8" s="495">
        <v>4.4000000000000004</v>
      </c>
      <c r="O8" s="495">
        <v>19.010000000000002</v>
      </c>
      <c r="P8" s="495">
        <v>17.82</v>
      </c>
      <c r="Q8" s="495">
        <v>15.19</v>
      </c>
    </row>
    <row r="9" spans="6:17">
      <c r="F9" t="s">
        <v>140</v>
      </c>
      <c r="G9" s="495">
        <v>12.41</v>
      </c>
      <c r="H9" s="495">
        <v>9.76</v>
      </c>
      <c r="I9" s="495">
        <v>7.7</v>
      </c>
      <c r="K9" s="495">
        <v>3.2</v>
      </c>
      <c r="L9" s="495">
        <v>2.83</v>
      </c>
      <c r="M9" s="495">
        <v>2.48</v>
      </c>
      <c r="O9" s="495">
        <v>27.29</v>
      </c>
      <c r="P9" s="495">
        <v>23.58</v>
      </c>
      <c r="Q9" s="495">
        <v>18.43</v>
      </c>
    </row>
    <row r="10" spans="6:17">
      <c r="F10" t="s">
        <v>141</v>
      </c>
      <c r="G10" s="495">
        <v>6.55</v>
      </c>
      <c r="H10" s="495">
        <v>5.28</v>
      </c>
      <c r="I10" s="495">
        <v>4.8499999999999996</v>
      </c>
      <c r="K10" s="495">
        <v>1.23</v>
      </c>
      <c r="L10" s="495">
        <v>1.1200000000000001</v>
      </c>
      <c r="M10" s="495">
        <v>1.03</v>
      </c>
      <c r="O10" s="495">
        <v>7.01</v>
      </c>
      <c r="P10" s="495">
        <v>5.91</v>
      </c>
      <c r="Q10" s="495">
        <v>4.8600000000000003</v>
      </c>
    </row>
    <row r="11" spans="6:17">
      <c r="F11" t="s">
        <v>142</v>
      </c>
      <c r="G11" s="495">
        <v>17</v>
      </c>
      <c r="H11" s="495">
        <v>14.44</v>
      </c>
      <c r="I11" s="495">
        <v>12.49</v>
      </c>
      <c r="K11" s="495">
        <v>5.67</v>
      </c>
      <c r="L11" s="495">
        <v>5.09</v>
      </c>
      <c r="M11" s="495">
        <v>4.62</v>
      </c>
      <c r="O11" s="495">
        <v>19.100000000000001</v>
      </c>
      <c r="P11" s="495">
        <v>17.920000000000002</v>
      </c>
      <c r="Q11" s="495">
        <v>14.97</v>
      </c>
    </row>
    <row r="12" spans="6:17">
      <c r="F12" t="s">
        <v>143</v>
      </c>
      <c r="G12" s="495">
        <v>14.09</v>
      </c>
      <c r="H12" s="495">
        <v>13</v>
      </c>
      <c r="I12" s="495">
        <v>12.01</v>
      </c>
      <c r="K12" s="495">
        <v>4.29</v>
      </c>
      <c r="L12" s="495">
        <v>4.07</v>
      </c>
      <c r="M12" s="495">
        <v>3.88</v>
      </c>
      <c r="O12" s="495">
        <v>18.149999999999999</v>
      </c>
      <c r="P12" s="495">
        <v>16.61</v>
      </c>
      <c r="Q12" s="495">
        <v>14.87</v>
      </c>
    </row>
    <row r="13" spans="6:17">
      <c r="F13" t="s">
        <v>144</v>
      </c>
      <c r="G13">
        <v>14.79</v>
      </c>
      <c r="H13">
        <v>12.3</v>
      </c>
      <c r="I13">
        <v>9.98</v>
      </c>
      <c r="K13">
        <v>8.8800000000000008</v>
      </c>
      <c r="L13">
        <v>7.61</v>
      </c>
      <c r="M13">
        <v>6.41</v>
      </c>
      <c r="O13">
        <v>23.14</v>
      </c>
      <c r="P13">
        <v>20.09</v>
      </c>
      <c r="Q13">
        <v>17.09</v>
      </c>
    </row>
    <row r="14" spans="6:17">
      <c r="F14" t="s">
        <v>145</v>
      </c>
      <c r="G14">
        <v>28.33</v>
      </c>
      <c r="H14">
        <v>26.06</v>
      </c>
      <c r="I14">
        <v>23.81</v>
      </c>
      <c r="K14">
        <v>10.050000000000001</v>
      </c>
      <c r="L14">
        <v>9.18</v>
      </c>
      <c r="M14">
        <v>8.57</v>
      </c>
      <c r="O14">
        <v>36.99</v>
      </c>
      <c r="P14">
        <v>33.33</v>
      </c>
      <c r="Q14">
        <v>29.98</v>
      </c>
    </row>
  </sheetData>
  <mergeCells count="3">
    <mergeCell ref="G6:I6"/>
    <mergeCell ref="K6:M6"/>
    <mergeCell ref="O6:Q6"/>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41"/>
  <sheetViews>
    <sheetView showGridLines="0" zoomScale="85" zoomScaleNormal="85" workbookViewId="0">
      <pane xSplit="3" ySplit="5" topLeftCell="D6" activePane="bottomRight" state="frozen"/>
      <selection pane="bottomRight" activeCell="L18" sqref="L18"/>
      <selection pane="bottomLeft" activeCell="A6" sqref="A6"/>
      <selection pane="topRight" activeCell="D1" sqref="D1"/>
    </sheetView>
  </sheetViews>
  <sheetFormatPr defaultColWidth="8.5" defaultRowHeight="14.25"/>
  <cols>
    <col min="1" max="1" width="2" customWidth="1"/>
    <col min="3" max="3" width="14.5" customWidth="1"/>
    <col min="4" max="9" width="9.875" customWidth="1"/>
    <col min="10" max="10" width="10" customWidth="1"/>
    <col min="16" max="17" width="10.125" customWidth="1"/>
  </cols>
  <sheetData>
    <row r="1" spans="1:33" ht="15" customHeight="1">
      <c r="A1" s="71"/>
    </row>
    <row r="5" spans="1:33" ht="15" customHeight="1">
      <c r="A5" s="746" t="s">
        <v>53</v>
      </c>
      <c r="B5" s="746"/>
      <c r="C5" s="746"/>
      <c r="D5" s="76">
        <v>2020</v>
      </c>
      <c r="E5" s="76">
        <v>2021</v>
      </c>
      <c r="F5" s="76">
        <v>2022</v>
      </c>
      <c r="G5" s="76">
        <v>2023</v>
      </c>
      <c r="H5" s="76">
        <v>2024</v>
      </c>
      <c r="I5" s="76">
        <v>2025</v>
      </c>
      <c r="J5" s="77">
        <v>2026</v>
      </c>
      <c r="K5" s="77">
        <v>2027</v>
      </c>
      <c r="L5" s="77">
        <v>2028</v>
      </c>
      <c r="M5" s="77">
        <v>2029</v>
      </c>
      <c r="N5" s="77">
        <v>2030</v>
      </c>
    </row>
    <row r="6" spans="1:33" s="1" customFormat="1" ht="18.75" customHeight="1">
      <c r="A6" s="79" t="s">
        <v>61</v>
      </c>
      <c r="B6" s="80"/>
      <c r="C6" s="80"/>
      <c r="D6" s="81">
        <v>182527</v>
      </c>
      <c r="E6" s="81">
        <v>257637</v>
      </c>
      <c r="F6" s="81">
        <v>282836</v>
      </c>
      <c r="G6" s="81">
        <v>307394</v>
      </c>
      <c r="H6" s="81">
        <v>350018</v>
      </c>
      <c r="I6" s="81">
        <v>402836</v>
      </c>
      <c r="J6" s="123"/>
      <c r="K6" s="123"/>
      <c r="L6" s="123"/>
      <c r="M6" s="123"/>
      <c r="N6" s="123"/>
    </row>
    <row r="7" spans="1:33" ht="18.75" customHeight="1">
      <c r="A7" s="83"/>
      <c r="B7" s="84"/>
      <c r="C7" s="84"/>
      <c r="D7" s="85"/>
      <c r="E7" s="86">
        <f>E6/D6-1</f>
        <v>0.41150076427049154</v>
      </c>
      <c r="F7" s="86">
        <f>F6/E6-1</f>
        <v>9.7808156437157789E-2</v>
      </c>
      <c r="G7" s="86">
        <f>G6/F6-1</f>
        <v>8.6827702272695095E-2</v>
      </c>
      <c r="H7" s="86">
        <f>H6/G6-1</f>
        <v>0.13866243322901561</v>
      </c>
      <c r="I7" s="86">
        <f>I6/H6-1</f>
        <v>0.15090081081544371</v>
      </c>
      <c r="J7" s="88"/>
      <c r="K7" s="88"/>
      <c r="L7" s="88"/>
      <c r="M7" s="88"/>
      <c r="N7" s="88"/>
      <c r="P7" s="89"/>
      <c r="Q7" s="1"/>
      <c r="R7" s="1"/>
      <c r="S7" s="1"/>
      <c r="T7" s="1"/>
      <c r="U7" s="92"/>
      <c r="V7" s="2"/>
      <c r="W7" s="2"/>
      <c r="X7" s="2"/>
      <c r="Y7" s="90"/>
      <c r="Z7" s="91"/>
      <c r="AA7" s="92"/>
      <c r="AB7" s="2"/>
      <c r="AC7" s="2"/>
      <c r="AD7" s="2"/>
      <c r="AE7" s="90"/>
      <c r="AF7" s="91"/>
      <c r="AG7" s="92"/>
    </row>
    <row r="8" spans="1:33" ht="18.75" customHeight="1">
      <c r="A8" s="93" t="s">
        <v>223</v>
      </c>
      <c r="B8" s="84"/>
      <c r="C8" s="84"/>
      <c r="D8" s="94">
        <v>104062</v>
      </c>
      <c r="E8" s="94">
        <v>148951</v>
      </c>
      <c r="F8" s="94">
        <v>162450</v>
      </c>
      <c r="G8" s="94">
        <v>175033</v>
      </c>
      <c r="H8" s="94">
        <v>198084</v>
      </c>
      <c r="I8" s="94">
        <v>224532</v>
      </c>
      <c r="J8" s="88"/>
      <c r="K8" s="88"/>
      <c r="L8" s="88"/>
      <c r="M8" s="88"/>
      <c r="N8" s="88"/>
      <c r="O8" s="75">
        <f>I8/$I$6</f>
        <v>0.55737818864252453</v>
      </c>
      <c r="P8" s="98"/>
      <c r="Q8" s="112">
        <f>SUM(D8:D12)</f>
        <v>146924</v>
      </c>
      <c r="R8" s="112">
        <f>SUM(I8,I10,I12)</f>
        <v>294691</v>
      </c>
      <c r="S8" s="1"/>
      <c r="T8" s="1"/>
      <c r="U8" s="92"/>
      <c r="V8" s="2"/>
      <c r="W8" s="2"/>
      <c r="X8" s="2"/>
      <c r="Y8" s="90"/>
      <c r="Z8" s="91"/>
      <c r="AA8" s="92"/>
      <c r="AB8" s="2"/>
      <c r="AC8" s="2"/>
      <c r="AD8" s="2"/>
      <c r="AE8" s="90"/>
      <c r="AF8" s="91"/>
      <c r="AG8" s="92"/>
    </row>
    <row r="9" spans="1:33" ht="18.75" customHeight="1">
      <c r="A9" s="93" t="s">
        <v>335</v>
      </c>
      <c r="B9" s="84"/>
      <c r="C9" s="84"/>
      <c r="D9" s="94"/>
      <c r="E9" s="86">
        <f>E8/D8-1</f>
        <v>0.43136783840402826</v>
      </c>
      <c r="F9" s="86">
        <f>F8/E8-1</f>
        <v>9.0627118985438182E-2</v>
      </c>
      <c r="G9" s="86">
        <f>G8/F8-1</f>
        <v>7.7457679285934056E-2</v>
      </c>
      <c r="H9" s="86">
        <f>H8/G8-1</f>
        <v>0.13169516605440124</v>
      </c>
      <c r="I9" s="86">
        <f>I8/H8-1</f>
        <v>0.13351911310353182</v>
      </c>
      <c r="J9" s="88"/>
      <c r="K9" s="88"/>
      <c r="L9" s="88"/>
      <c r="M9" s="88"/>
      <c r="N9" s="88"/>
      <c r="O9" s="75"/>
      <c r="P9" s="89"/>
      <c r="Q9" s="1"/>
      <c r="R9" s="1"/>
      <c r="S9" s="1"/>
      <c r="T9" s="1"/>
      <c r="U9" s="92"/>
      <c r="V9" s="2"/>
      <c r="W9" s="2"/>
      <c r="X9" s="2"/>
      <c r="Y9" s="90"/>
      <c r="Z9" s="91"/>
      <c r="AA9" s="92"/>
      <c r="AB9" s="2"/>
      <c r="AC9" s="2"/>
      <c r="AD9" s="2"/>
      <c r="AE9" s="90"/>
      <c r="AF9" s="91"/>
      <c r="AG9" s="92"/>
    </row>
    <row r="10" spans="1:33" ht="18.75" customHeight="1">
      <c r="A10" s="93" t="s">
        <v>225</v>
      </c>
      <c r="B10" s="84"/>
      <c r="C10" s="84"/>
      <c r="D10" s="94">
        <v>19772</v>
      </c>
      <c r="E10" s="94">
        <v>28845</v>
      </c>
      <c r="F10" s="94">
        <v>29243</v>
      </c>
      <c r="G10" s="94">
        <v>31510</v>
      </c>
      <c r="H10" s="94">
        <v>36147</v>
      </c>
      <c r="I10" s="94">
        <v>40367</v>
      </c>
      <c r="J10" s="88"/>
      <c r="K10" s="88"/>
      <c r="L10" s="88"/>
      <c r="M10" s="88"/>
      <c r="N10" s="88"/>
      <c r="O10" s="75">
        <f>I10/$I$6</f>
        <v>0.10020703214211242</v>
      </c>
      <c r="P10" s="89"/>
      <c r="Q10" s="1"/>
      <c r="R10" s="1"/>
      <c r="S10" s="1"/>
      <c r="T10" s="1"/>
      <c r="U10" s="92"/>
      <c r="V10" s="2"/>
      <c r="W10" s="2"/>
      <c r="X10" s="2"/>
      <c r="Y10" s="90"/>
      <c r="Z10" s="91"/>
      <c r="AA10" s="92"/>
      <c r="AB10" s="2"/>
      <c r="AC10" s="2"/>
      <c r="AD10" s="2"/>
      <c r="AE10" s="90"/>
      <c r="AF10" s="91"/>
      <c r="AG10" s="92"/>
    </row>
    <row r="11" spans="1:33" ht="18.75" customHeight="1">
      <c r="A11" s="93"/>
      <c r="B11" s="84"/>
      <c r="C11" s="84"/>
      <c r="D11" s="94"/>
      <c r="E11" s="86">
        <f>E10/D10-1</f>
        <v>0.45888124620675708</v>
      </c>
      <c r="F11" s="86">
        <f>F10/E10-1</f>
        <v>1.3797885248743258E-2</v>
      </c>
      <c r="G11" s="86">
        <f>G10/F10-1</f>
        <v>7.7522825975447018E-2</v>
      </c>
      <c r="H11" s="86">
        <f>H10/G10-1</f>
        <v>0.14715963186290071</v>
      </c>
      <c r="I11" s="86">
        <f>I10/H10-1</f>
        <v>0.11674551138407052</v>
      </c>
      <c r="J11" s="88"/>
      <c r="K11" s="88"/>
      <c r="L11" s="88"/>
      <c r="M11" s="88"/>
      <c r="N11" s="88"/>
      <c r="O11" s="75"/>
      <c r="P11" s="89"/>
      <c r="Q11" s="1"/>
      <c r="R11" s="1"/>
      <c r="S11" s="1"/>
      <c r="T11" s="1"/>
      <c r="U11" s="92"/>
      <c r="V11" s="2"/>
      <c r="W11" s="2"/>
      <c r="X11" s="2"/>
      <c r="Y11" s="90"/>
      <c r="Z11" s="91"/>
      <c r="AA11" s="92"/>
      <c r="AB11" s="2"/>
      <c r="AC11" s="2"/>
      <c r="AD11" s="2"/>
      <c r="AE11" s="90"/>
      <c r="AF11" s="91"/>
      <c r="AG11" s="92"/>
    </row>
    <row r="12" spans="1:33" ht="18.75" customHeight="1">
      <c r="A12" s="93" t="s">
        <v>226</v>
      </c>
      <c r="B12" s="84"/>
      <c r="C12" s="84"/>
      <c r="D12" s="94">
        <v>23090</v>
      </c>
      <c r="E12" s="94">
        <v>31701</v>
      </c>
      <c r="F12" s="94">
        <v>32780</v>
      </c>
      <c r="G12" s="94">
        <v>31312</v>
      </c>
      <c r="H12" s="94">
        <v>30359</v>
      </c>
      <c r="I12" s="94">
        <v>29792</v>
      </c>
      <c r="J12" s="88"/>
      <c r="K12" s="88"/>
      <c r="L12" s="88"/>
      <c r="M12" s="88"/>
      <c r="N12" s="88"/>
      <c r="O12" s="75">
        <f>I12/$I$6</f>
        <v>7.3955654410231456E-2</v>
      </c>
      <c r="P12" s="98"/>
      <c r="Q12" s="1"/>
      <c r="R12" s="1"/>
      <c r="S12" s="1"/>
      <c r="T12" s="1"/>
      <c r="U12" s="92"/>
      <c r="V12" s="2"/>
      <c r="W12" s="2"/>
      <c r="X12" s="2"/>
      <c r="Y12" s="90"/>
      <c r="Z12" s="91"/>
      <c r="AA12" s="92"/>
      <c r="AB12" s="2"/>
      <c r="AC12" s="2"/>
      <c r="AD12" s="2"/>
      <c r="AE12" s="90"/>
      <c r="AF12" s="91"/>
      <c r="AG12" s="92"/>
    </row>
    <row r="13" spans="1:33" ht="18.75" customHeight="1">
      <c r="A13" s="93"/>
      <c r="B13" s="84"/>
      <c r="C13" s="84"/>
      <c r="D13" s="94"/>
      <c r="E13" s="86">
        <f>E12/D12-1</f>
        <v>0.37293200519705505</v>
      </c>
      <c r="F13" s="86">
        <f>F12/E12-1</f>
        <v>3.4036781174095365E-2</v>
      </c>
      <c r="G13" s="86">
        <f>G12/F12-1</f>
        <v>-4.4783404514948111E-2</v>
      </c>
      <c r="H13" s="86">
        <f>H12/G12-1</f>
        <v>-3.0435615738375055E-2</v>
      </c>
      <c r="I13" s="86">
        <f>I12/H12-1</f>
        <v>-1.8676504496195512E-2</v>
      </c>
      <c r="J13" s="88"/>
      <c r="K13" s="88"/>
      <c r="L13" s="88"/>
      <c r="M13" s="88"/>
      <c r="N13" s="88"/>
      <c r="O13" s="75"/>
      <c r="P13" s="89"/>
      <c r="Q13" s="1"/>
      <c r="R13" s="1"/>
      <c r="S13" s="1"/>
      <c r="T13" s="1"/>
      <c r="U13" s="92"/>
      <c r="V13" s="2"/>
      <c r="W13" s="2"/>
      <c r="X13" s="2"/>
      <c r="Y13" s="90"/>
      <c r="Z13" s="91"/>
      <c r="AA13" s="92"/>
      <c r="AB13" s="2"/>
      <c r="AC13" s="2"/>
      <c r="AD13" s="2"/>
      <c r="AE13" s="90"/>
      <c r="AF13" s="91"/>
      <c r="AG13" s="92"/>
    </row>
    <row r="14" spans="1:33" ht="18.75" customHeight="1">
      <c r="A14" s="93" t="s">
        <v>227</v>
      </c>
      <c r="B14" s="84"/>
      <c r="C14" s="84"/>
      <c r="D14" s="94">
        <v>21711</v>
      </c>
      <c r="E14" s="94">
        <v>28032</v>
      </c>
      <c r="F14" s="94">
        <v>29055</v>
      </c>
      <c r="G14" s="94">
        <v>34688</v>
      </c>
      <c r="H14" s="94">
        <v>40340</v>
      </c>
      <c r="I14" s="94">
        <v>48030</v>
      </c>
      <c r="J14" s="88"/>
      <c r="K14" s="88"/>
      <c r="L14" s="88"/>
      <c r="M14" s="88"/>
      <c r="N14" s="88"/>
      <c r="O14" s="75">
        <f>I14/$I$6</f>
        <v>0.11922966169855723</v>
      </c>
      <c r="P14" s="89"/>
      <c r="Q14" s="1"/>
      <c r="R14" s="1"/>
      <c r="S14" s="1"/>
      <c r="T14" s="1"/>
      <c r="U14" s="92"/>
      <c r="V14" s="2"/>
      <c r="W14" s="2"/>
      <c r="X14" s="2"/>
      <c r="Y14" s="90"/>
      <c r="Z14" s="91"/>
      <c r="AA14" s="92"/>
      <c r="AB14" s="2"/>
      <c r="AC14" s="2"/>
      <c r="AD14" s="2"/>
      <c r="AE14" s="90"/>
      <c r="AF14" s="91"/>
      <c r="AG14" s="92"/>
    </row>
    <row r="15" spans="1:33" ht="18.75" customHeight="1">
      <c r="A15" s="93"/>
      <c r="B15" s="84"/>
      <c r="C15" s="84"/>
      <c r="D15" s="94"/>
      <c r="E15" s="86">
        <f>E14/D14-1</f>
        <v>0.29114273870388274</v>
      </c>
      <c r="F15" s="86">
        <f>F14/E14-1</f>
        <v>3.6494006849315141E-2</v>
      </c>
      <c r="G15" s="86">
        <f>G14/F14-1</f>
        <v>0.19387368783341929</v>
      </c>
      <c r="H15" s="86">
        <f>H14/G14-1</f>
        <v>0.16293819188191883</v>
      </c>
      <c r="I15" s="86">
        <f>I14/H14-1</f>
        <v>0.1906296479920675</v>
      </c>
      <c r="J15" s="88"/>
      <c r="K15" s="88"/>
      <c r="L15" s="88"/>
      <c r="M15" s="88"/>
      <c r="N15" s="88"/>
      <c r="O15" s="75"/>
      <c r="P15" s="89"/>
      <c r="Q15" s="1"/>
      <c r="R15" s="1"/>
      <c r="S15" s="1"/>
      <c r="T15" s="1"/>
      <c r="U15" s="92"/>
      <c r="V15" s="2"/>
      <c r="W15" s="2"/>
      <c r="X15" s="2"/>
      <c r="Y15" s="90"/>
      <c r="Z15" s="91"/>
      <c r="AA15" s="92"/>
      <c r="AB15" s="2"/>
      <c r="AC15" s="2"/>
      <c r="AD15" s="2"/>
      <c r="AE15" s="90"/>
      <c r="AF15" s="91"/>
      <c r="AG15" s="92"/>
    </row>
    <row r="16" spans="1:33" ht="18.75" customHeight="1">
      <c r="A16" s="93" t="s">
        <v>229</v>
      </c>
      <c r="B16" s="84"/>
      <c r="C16" s="84"/>
      <c r="D16" s="94">
        <v>13059</v>
      </c>
      <c r="E16" s="94">
        <v>19206</v>
      </c>
      <c r="F16" s="94">
        <v>26280</v>
      </c>
      <c r="G16" s="94">
        <v>33088</v>
      </c>
      <c r="H16" s="94">
        <v>43229</v>
      </c>
      <c r="I16" s="94">
        <v>58705</v>
      </c>
      <c r="J16" s="88"/>
      <c r="K16" s="88"/>
      <c r="L16" s="88"/>
      <c r="M16" s="88"/>
      <c r="N16" s="88"/>
      <c r="O16" s="75">
        <f>I16/$I$6</f>
        <v>0.14572927940899025</v>
      </c>
      <c r="P16" s="89"/>
      <c r="Q16" s="1"/>
      <c r="R16" s="1"/>
      <c r="S16" s="1"/>
      <c r="T16" s="1"/>
      <c r="U16" s="92"/>
      <c r="V16" s="2"/>
      <c r="W16" s="2"/>
      <c r="X16" s="2"/>
      <c r="Y16" s="90"/>
      <c r="Z16" s="91"/>
      <c r="AA16" s="92"/>
      <c r="AB16" s="2"/>
      <c r="AC16" s="2"/>
      <c r="AD16" s="2"/>
      <c r="AE16" s="90"/>
      <c r="AF16" s="91"/>
      <c r="AG16" s="92"/>
    </row>
    <row r="17" spans="1:35" ht="18.75" customHeight="1">
      <c r="A17" s="93"/>
      <c r="B17" s="84"/>
      <c r="C17" s="84"/>
      <c r="D17" s="94"/>
      <c r="E17" s="86">
        <f>E16/D16-1</f>
        <v>0.47070985527222597</v>
      </c>
      <c r="F17" s="86">
        <f>F16/E16-1</f>
        <v>0.36832239925023424</v>
      </c>
      <c r="G17" s="86">
        <f>G16/F16-1</f>
        <v>0.25905631659056327</v>
      </c>
      <c r="H17" s="86">
        <f>H16/G16-1</f>
        <v>0.30648573500967125</v>
      </c>
      <c r="I17" s="86">
        <f>I16/H16-1</f>
        <v>0.35800041638714752</v>
      </c>
      <c r="J17" s="111"/>
      <c r="K17" s="88"/>
      <c r="L17" s="88"/>
      <c r="M17" s="88"/>
      <c r="N17" s="88"/>
      <c r="O17" s="75"/>
      <c r="P17" s="89"/>
      <c r="Q17" s="1"/>
      <c r="R17" s="1"/>
      <c r="S17" s="1"/>
      <c r="T17" s="1"/>
      <c r="U17" s="92"/>
      <c r="V17" s="2"/>
      <c r="W17" s="2"/>
      <c r="X17" s="2"/>
      <c r="Y17" s="90"/>
      <c r="Z17" s="91"/>
      <c r="AA17" s="92"/>
      <c r="AB17" s="2"/>
      <c r="AC17" s="2"/>
      <c r="AD17" s="2"/>
      <c r="AE17" s="90"/>
      <c r="AF17" s="91"/>
      <c r="AG17" s="92"/>
    </row>
    <row r="18" spans="1:35" ht="18.75" customHeight="1">
      <c r="A18" s="93" t="s">
        <v>230</v>
      </c>
      <c r="B18" s="84"/>
      <c r="C18" s="84"/>
      <c r="D18" s="94">
        <v>657</v>
      </c>
      <c r="E18" s="94">
        <v>753</v>
      </c>
      <c r="F18" s="94">
        <v>1068</v>
      </c>
      <c r="G18" s="94">
        <v>1527</v>
      </c>
      <c r="H18" s="94">
        <v>1648</v>
      </c>
      <c r="I18" s="94">
        <v>1537</v>
      </c>
      <c r="J18" s="88"/>
      <c r="K18" s="88"/>
      <c r="L18" s="88"/>
      <c r="M18" s="88"/>
      <c r="N18" s="88"/>
      <c r="O18" s="118">
        <f>I18/$I$6</f>
        <v>3.8154484703452523E-3</v>
      </c>
      <c r="P18" s="1"/>
      <c r="Q18" s="1"/>
      <c r="R18" s="1"/>
      <c r="S18" s="1"/>
      <c r="T18" s="1"/>
      <c r="U18" s="92"/>
      <c r="V18" s="2"/>
      <c r="W18" s="2"/>
      <c r="X18" s="2"/>
      <c r="Y18" s="90"/>
      <c r="Z18" s="91"/>
      <c r="AA18" s="92"/>
      <c r="AB18" s="2"/>
      <c r="AC18" s="2"/>
      <c r="AD18" s="2"/>
      <c r="AE18" s="90"/>
      <c r="AF18" s="91"/>
      <c r="AG18" s="92"/>
    </row>
    <row r="19" spans="1:35" ht="18.75" customHeight="1">
      <c r="A19" s="93"/>
      <c r="B19" s="84"/>
      <c r="C19" s="84"/>
      <c r="D19" s="94"/>
      <c r="E19" s="86">
        <f>E18/D18-1</f>
        <v>0.14611872146118721</v>
      </c>
      <c r="F19" s="86">
        <f>F18/E18-1</f>
        <v>0.41832669322709171</v>
      </c>
      <c r="G19" s="86">
        <f>G18/F18-1</f>
        <v>0.4297752808988764</v>
      </c>
      <c r="H19" s="86">
        <f>H18/G18-1</f>
        <v>7.9240340537000575E-2</v>
      </c>
      <c r="I19" s="86">
        <f>I18/H18-1</f>
        <v>-6.7354368932038833E-2</v>
      </c>
      <c r="J19" s="88"/>
      <c r="K19" s="88"/>
      <c r="L19" s="88"/>
      <c r="M19" s="88"/>
      <c r="N19" s="88"/>
      <c r="P19" s="1"/>
      <c r="Q19" s="1"/>
      <c r="R19" s="1"/>
      <c r="S19" s="1"/>
      <c r="T19" s="1"/>
      <c r="U19" s="92"/>
      <c r="V19" s="2"/>
      <c r="W19" s="2"/>
      <c r="X19" s="2"/>
      <c r="Y19" s="90"/>
      <c r="Z19" s="91"/>
      <c r="AA19" s="92"/>
      <c r="AB19" s="2"/>
      <c r="AC19" s="2"/>
      <c r="AD19" s="2"/>
      <c r="AE19" s="90"/>
      <c r="AF19" s="91"/>
      <c r="AG19" s="92"/>
    </row>
    <row r="20" spans="1:35" ht="18.75" customHeight="1">
      <c r="A20" s="93" t="s">
        <v>231</v>
      </c>
      <c r="B20" s="84"/>
      <c r="C20" s="84"/>
      <c r="D20" s="94">
        <v>176</v>
      </c>
      <c r="E20" s="94">
        <v>149</v>
      </c>
      <c r="F20" s="94">
        <v>1960</v>
      </c>
      <c r="G20" s="94">
        <v>236</v>
      </c>
      <c r="H20" s="94">
        <v>211</v>
      </c>
      <c r="I20" s="94">
        <v>-127</v>
      </c>
      <c r="J20" s="88"/>
      <c r="K20" s="88"/>
      <c r="L20" s="88"/>
      <c r="M20" s="88"/>
      <c r="N20" s="88"/>
      <c r="P20" s="1"/>
      <c r="Q20" s="1"/>
      <c r="R20" s="1"/>
      <c r="S20" s="1"/>
      <c r="T20" s="1"/>
      <c r="U20" s="92"/>
      <c r="V20" s="2"/>
      <c r="W20" s="2"/>
      <c r="X20" s="2"/>
      <c r="Y20" s="90"/>
      <c r="Z20" s="91"/>
      <c r="AA20" s="92"/>
      <c r="AB20" s="2"/>
      <c r="AC20" s="2"/>
      <c r="AD20" s="2"/>
      <c r="AE20" s="90"/>
      <c r="AF20" s="91"/>
      <c r="AG20" s="92"/>
    </row>
    <row r="21" spans="1:35" ht="18.75" customHeight="1">
      <c r="A21" s="93"/>
      <c r="B21" s="84"/>
      <c r="C21" s="84"/>
      <c r="D21" s="85"/>
      <c r="E21" s="86">
        <f>E20/D20-1</f>
        <v>-0.15340909090909094</v>
      </c>
      <c r="F21" s="86">
        <f>F20/E20-1</f>
        <v>12.154362416107382</v>
      </c>
      <c r="G21" s="86">
        <f>G20/F20-1</f>
        <v>-0.87959183673469388</v>
      </c>
      <c r="H21" s="86">
        <f>H20/G20-1</f>
        <v>-0.10593220338983056</v>
      </c>
      <c r="I21" s="86">
        <f>I20/H20-1</f>
        <v>-1.6018957345971563</v>
      </c>
      <c r="J21" s="88"/>
      <c r="K21" s="88"/>
      <c r="L21" s="88"/>
      <c r="M21" s="88"/>
      <c r="N21" s="88"/>
      <c r="P21" s="1"/>
      <c r="Q21" s="1"/>
      <c r="R21" s="1"/>
      <c r="S21" s="1"/>
      <c r="T21" s="1"/>
      <c r="U21" s="92"/>
      <c r="V21" s="2"/>
      <c r="W21" s="2"/>
      <c r="X21" s="2"/>
      <c r="Y21" s="90"/>
      <c r="Z21" s="91"/>
      <c r="AA21" s="92"/>
      <c r="AB21" s="2"/>
      <c r="AC21" s="2"/>
      <c r="AD21" s="2"/>
      <c r="AE21" s="90"/>
      <c r="AF21" s="91"/>
      <c r="AG21" s="92"/>
    </row>
    <row r="22" spans="1:35" ht="18.75" customHeight="1">
      <c r="A22" s="93" t="s">
        <v>63</v>
      </c>
      <c r="B22" s="84"/>
      <c r="C22" s="84"/>
      <c r="D22" s="134">
        <v>84732</v>
      </c>
      <c r="E22" s="134">
        <v>110939</v>
      </c>
      <c r="F22" s="134">
        <v>126203</v>
      </c>
      <c r="G22" s="94">
        <v>133332</v>
      </c>
      <c r="H22" s="94">
        <v>146306</v>
      </c>
      <c r="I22" s="94">
        <v>162535</v>
      </c>
      <c r="J22" s="88"/>
      <c r="K22" s="88"/>
      <c r="L22" s="88"/>
      <c r="M22" s="88"/>
      <c r="N22" s="88"/>
      <c r="P22" s="1"/>
      <c r="Q22" s="1"/>
      <c r="R22" s="1"/>
      <c r="S22" s="1"/>
      <c r="T22" s="1"/>
      <c r="U22" s="1"/>
      <c r="V22" s="1"/>
      <c r="W22" s="1"/>
      <c r="X22" s="1"/>
      <c r="Y22" s="1"/>
      <c r="Z22" s="1"/>
      <c r="AA22" s="1"/>
      <c r="AB22" s="1"/>
      <c r="AC22" s="1"/>
      <c r="AD22" s="1"/>
      <c r="AE22" s="1"/>
      <c r="AF22" s="1"/>
      <c r="AG22" s="1"/>
      <c r="AH22" s="1"/>
      <c r="AI22" s="1"/>
    </row>
    <row r="23" spans="1:35" ht="18.75" customHeight="1">
      <c r="A23" s="93"/>
      <c r="B23" s="84"/>
      <c r="C23" s="84"/>
      <c r="D23" s="85"/>
      <c r="E23" s="85"/>
      <c r="F23" s="85"/>
      <c r="G23" s="94"/>
      <c r="H23" s="94"/>
      <c r="I23" s="94"/>
      <c r="J23" s="88"/>
      <c r="K23" s="88"/>
      <c r="L23" s="88"/>
      <c r="M23" s="88"/>
      <c r="N23" s="88"/>
      <c r="P23" s="1"/>
      <c r="Q23" s="1"/>
      <c r="R23" s="1"/>
      <c r="S23" s="1"/>
      <c r="T23" s="1"/>
      <c r="U23" s="1"/>
      <c r="V23" s="1"/>
      <c r="W23" s="1"/>
      <c r="X23" s="1"/>
      <c r="Y23" s="1"/>
      <c r="Z23" s="1"/>
      <c r="AA23" s="1"/>
      <c r="AB23" s="1"/>
      <c r="AC23" s="1"/>
      <c r="AD23" s="1"/>
      <c r="AE23" s="1"/>
      <c r="AF23" s="1"/>
      <c r="AG23" s="1"/>
      <c r="AH23" s="1"/>
      <c r="AI23" s="1"/>
    </row>
    <row r="24" spans="1:35" s="1" customFormat="1" ht="18.75" customHeight="1">
      <c r="A24" s="79" t="s">
        <v>64</v>
      </c>
      <c r="B24" s="80"/>
      <c r="C24" s="80"/>
      <c r="D24" s="552">
        <f t="shared" ref="D24:I24" si="0">D6-D22</f>
        <v>97795</v>
      </c>
      <c r="E24" s="552">
        <f t="shared" si="0"/>
        <v>146698</v>
      </c>
      <c r="F24" s="552">
        <f t="shared" si="0"/>
        <v>156633</v>
      </c>
      <c r="G24" s="552">
        <f t="shared" si="0"/>
        <v>174062</v>
      </c>
      <c r="H24" s="552">
        <f t="shared" si="0"/>
        <v>203712</v>
      </c>
      <c r="I24" s="552">
        <f t="shared" si="0"/>
        <v>240301</v>
      </c>
      <c r="J24" s="123"/>
      <c r="K24" s="123"/>
      <c r="L24" s="123"/>
      <c r="M24" s="123"/>
      <c r="N24" s="123"/>
    </row>
    <row r="25" spans="1:35" s="1" customFormat="1" ht="18.75" customHeight="1">
      <c r="A25" s="83"/>
      <c r="B25" s="84"/>
      <c r="C25" s="84"/>
      <c r="D25" s="85"/>
      <c r="E25" s="85"/>
      <c r="F25" s="85"/>
      <c r="G25" s="553"/>
      <c r="H25" s="553"/>
      <c r="I25" s="553"/>
      <c r="J25" s="88"/>
      <c r="K25" s="88"/>
      <c r="L25" s="88"/>
      <c r="M25" s="88"/>
      <c r="N25" s="88"/>
    </row>
    <row r="26" spans="1:35" ht="18.75" customHeight="1">
      <c r="A26" s="93" t="s">
        <v>336</v>
      </c>
      <c r="B26" s="99"/>
      <c r="C26" s="84"/>
      <c r="D26" s="553">
        <f t="shared" ref="D26:I26" si="1">SUM(D27:D29)</f>
        <v>56571</v>
      </c>
      <c r="E26" s="553">
        <f t="shared" si="1"/>
        <v>67984</v>
      </c>
      <c r="F26" s="553">
        <f t="shared" si="1"/>
        <v>81791</v>
      </c>
      <c r="G26" s="553">
        <f t="shared" si="1"/>
        <v>89769</v>
      </c>
      <c r="H26" s="553">
        <f t="shared" si="1"/>
        <v>91322</v>
      </c>
      <c r="I26" s="553">
        <f t="shared" si="1"/>
        <v>111262</v>
      </c>
      <c r="J26" s="88"/>
      <c r="K26" s="88"/>
      <c r="L26" s="88"/>
      <c r="M26" s="88"/>
      <c r="N26" s="88"/>
      <c r="O26" s="1"/>
      <c r="P26" s="1"/>
      <c r="Q26" s="1"/>
      <c r="R26" s="1"/>
      <c r="S26" s="1"/>
      <c r="T26" s="1"/>
      <c r="U26" s="1"/>
      <c r="V26" s="1"/>
      <c r="W26" s="1"/>
      <c r="X26" s="1"/>
      <c r="Y26" s="1"/>
      <c r="Z26" s="1"/>
      <c r="AA26" s="1"/>
      <c r="AB26" s="1"/>
      <c r="AC26" s="1"/>
      <c r="AD26" s="1"/>
      <c r="AE26" s="1"/>
      <c r="AF26" s="1"/>
      <c r="AG26" s="1"/>
      <c r="AH26" s="1"/>
      <c r="AI26" s="1"/>
    </row>
    <row r="27" spans="1:35" ht="25.5" customHeight="1">
      <c r="A27" s="93"/>
      <c r="B27" s="99" t="s">
        <v>66</v>
      </c>
      <c r="C27" s="84"/>
      <c r="D27" s="134">
        <v>27573</v>
      </c>
      <c r="E27" s="134">
        <v>31562</v>
      </c>
      <c r="F27" s="134">
        <v>39500</v>
      </c>
      <c r="G27" s="134">
        <v>45427</v>
      </c>
      <c r="H27" s="134">
        <v>49326</v>
      </c>
      <c r="I27" s="134">
        <v>61087</v>
      </c>
      <c r="J27" s="88"/>
      <c r="K27" s="88"/>
      <c r="L27" s="88"/>
      <c r="M27" s="88"/>
      <c r="N27" s="88"/>
      <c r="P27" s="140"/>
      <c r="Q27" s="1"/>
      <c r="R27" s="1"/>
      <c r="S27" s="1"/>
      <c r="T27" s="1"/>
      <c r="U27" s="1"/>
      <c r="V27" s="1"/>
      <c r="W27" s="1"/>
      <c r="X27" s="1"/>
      <c r="Y27" s="1"/>
      <c r="Z27" s="1"/>
      <c r="AA27" s="1"/>
      <c r="AB27" s="1"/>
      <c r="AC27" s="1"/>
      <c r="AD27" s="1"/>
      <c r="AE27" s="1"/>
      <c r="AF27" s="1"/>
      <c r="AG27" s="1"/>
      <c r="AH27" s="1"/>
      <c r="AI27" s="1"/>
    </row>
    <row r="28" spans="1:35" ht="19.5" customHeight="1">
      <c r="A28" s="93"/>
      <c r="B28" s="99" t="s">
        <v>67</v>
      </c>
      <c r="C28" s="84"/>
      <c r="D28" s="134">
        <v>17946</v>
      </c>
      <c r="E28" s="134">
        <v>22912</v>
      </c>
      <c r="F28" s="134">
        <v>26567</v>
      </c>
      <c r="G28" s="134">
        <v>27917</v>
      </c>
      <c r="H28" s="134">
        <v>27808</v>
      </c>
      <c r="I28" s="134">
        <v>28693</v>
      </c>
      <c r="J28" s="88"/>
      <c r="K28" s="88"/>
      <c r="L28" s="88"/>
      <c r="M28" s="88"/>
      <c r="N28" s="88"/>
      <c r="P28" s="140"/>
      <c r="Q28" s="1"/>
      <c r="R28" s="1"/>
      <c r="S28" s="1"/>
      <c r="T28" s="1"/>
      <c r="U28" s="1"/>
      <c r="V28" s="1"/>
      <c r="W28" s="1"/>
      <c r="X28" s="1"/>
      <c r="Y28" s="1"/>
      <c r="Z28" s="1"/>
      <c r="AA28" s="1"/>
      <c r="AB28" s="1"/>
      <c r="AC28" s="1"/>
      <c r="AD28" s="1"/>
      <c r="AE28" s="1"/>
      <c r="AF28" s="1"/>
      <c r="AG28" s="1"/>
      <c r="AH28" s="1"/>
      <c r="AI28" s="1"/>
    </row>
    <row r="29" spans="1:35" ht="19.5" customHeight="1">
      <c r="A29" s="93"/>
      <c r="B29" s="99" t="s">
        <v>68</v>
      </c>
      <c r="C29" s="84"/>
      <c r="D29" s="134">
        <v>11052</v>
      </c>
      <c r="E29" s="134">
        <v>13510</v>
      </c>
      <c r="F29" s="134">
        <v>15724</v>
      </c>
      <c r="G29" s="134">
        <v>16425</v>
      </c>
      <c r="H29" s="134">
        <v>14188</v>
      </c>
      <c r="I29" s="134">
        <v>21482</v>
      </c>
      <c r="J29" s="88"/>
      <c r="K29" s="88"/>
      <c r="L29" s="88"/>
      <c r="M29" s="88"/>
      <c r="N29" s="88"/>
      <c r="P29" s="140"/>
      <c r="Q29" s="1"/>
      <c r="R29" s="1"/>
      <c r="S29" s="1"/>
      <c r="T29" s="1"/>
      <c r="U29" s="1"/>
      <c r="V29" s="1"/>
      <c r="W29" s="1"/>
      <c r="X29" s="1"/>
      <c r="Y29" s="1"/>
      <c r="Z29" s="1"/>
      <c r="AA29" s="1"/>
      <c r="AB29" s="1"/>
      <c r="AC29" s="1"/>
      <c r="AD29" s="1"/>
      <c r="AE29" s="1"/>
      <c r="AF29" s="1"/>
      <c r="AG29" s="1"/>
      <c r="AH29" s="1"/>
      <c r="AI29" s="1"/>
    </row>
    <row r="30" spans="1:35" ht="18.75" customHeight="1">
      <c r="A30" s="93"/>
      <c r="B30" s="84"/>
      <c r="C30" s="84"/>
      <c r="D30" s="85"/>
      <c r="E30" s="85"/>
      <c r="F30" s="85"/>
      <c r="G30" s="134"/>
      <c r="H30" s="134"/>
      <c r="I30" s="134"/>
      <c r="J30" s="88"/>
      <c r="K30" s="88"/>
      <c r="L30" s="88"/>
      <c r="M30" s="88"/>
      <c r="N30" s="88"/>
      <c r="P30" s="1"/>
      <c r="Q30" s="1"/>
      <c r="R30" s="1"/>
      <c r="S30" s="1"/>
      <c r="T30" s="1"/>
      <c r="U30" s="1"/>
      <c r="V30" s="1"/>
      <c r="W30" s="1"/>
      <c r="X30" s="1"/>
      <c r="Y30" s="1"/>
      <c r="Z30" s="1"/>
      <c r="AA30" s="1"/>
      <c r="AB30" s="1"/>
      <c r="AC30" s="1"/>
      <c r="AD30" s="1"/>
      <c r="AE30" s="1"/>
      <c r="AF30" s="1"/>
      <c r="AG30" s="1"/>
      <c r="AH30" s="1"/>
      <c r="AI30" s="1"/>
    </row>
    <row r="31" spans="1:35" ht="19.5" customHeight="1">
      <c r="A31" s="79" t="s">
        <v>337</v>
      </c>
      <c r="B31" s="80"/>
      <c r="C31" s="80"/>
      <c r="D31" s="81">
        <v>41224</v>
      </c>
      <c r="E31" s="81">
        <v>78714</v>
      </c>
      <c r="F31" s="81">
        <v>74842</v>
      </c>
      <c r="G31" s="81">
        <v>84293</v>
      </c>
      <c r="H31" s="81">
        <v>112390</v>
      </c>
      <c r="I31" s="81">
        <v>129039</v>
      </c>
      <c r="J31" s="123"/>
      <c r="K31" s="123"/>
      <c r="L31" s="123"/>
      <c r="M31" s="123"/>
      <c r="N31" s="123"/>
      <c r="P31" s="1"/>
      <c r="Q31" s="1"/>
      <c r="R31" s="1"/>
      <c r="S31" s="1"/>
      <c r="T31" s="1"/>
      <c r="U31" s="1"/>
      <c r="V31" s="1"/>
      <c r="W31" s="1"/>
      <c r="X31" s="1"/>
      <c r="Y31" s="1"/>
      <c r="Z31" s="1"/>
      <c r="AA31" s="1"/>
      <c r="AB31" s="1"/>
      <c r="AC31" s="1"/>
      <c r="AD31" s="1"/>
      <c r="AE31" s="1"/>
      <c r="AF31" s="1"/>
      <c r="AG31" s="1"/>
      <c r="AH31" s="1"/>
      <c r="AI31" s="1"/>
    </row>
    <row r="32" spans="1:35" ht="19.5" customHeight="1">
      <c r="A32" s="93"/>
      <c r="B32" s="84"/>
      <c r="C32" s="84"/>
      <c r="D32" s="85"/>
      <c r="E32" s="85"/>
      <c r="F32" s="85"/>
      <c r="G32" s="134"/>
      <c r="H32" s="134"/>
      <c r="I32" s="134"/>
      <c r="J32" s="88"/>
      <c r="K32" s="88"/>
      <c r="L32" s="88"/>
      <c r="M32" s="88"/>
      <c r="N32" s="88"/>
      <c r="P32" s="1"/>
      <c r="Q32" s="1"/>
      <c r="R32" s="1"/>
      <c r="S32" s="1"/>
      <c r="T32" s="1"/>
      <c r="U32" s="92"/>
      <c r="V32" s="2"/>
      <c r="W32" s="2"/>
      <c r="X32" s="2"/>
      <c r="Y32" s="148"/>
      <c r="Z32" s="148"/>
      <c r="AA32" s="92"/>
      <c r="AB32" s="2"/>
      <c r="AC32" s="2"/>
      <c r="AD32" s="2"/>
      <c r="AE32" s="148"/>
      <c r="AF32" s="148"/>
      <c r="AG32" s="92"/>
    </row>
    <row r="33" spans="1:33" ht="19.5" customHeight="1">
      <c r="A33" s="93" t="s">
        <v>70</v>
      </c>
      <c r="B33" s="84"/>
      <c r="C33" s="84"/>
      <c r="D33" s="134">
        <v>-3514</v>
      </c>
      <c r="E33" s="134">
        <v>12020</v>
      </c>
      <c r="F33" s="134">
        <v>6858</v>
      </c>
      <c r="G33" s="134">
        <v>1424</v>
      </c>
      <c r="H33" s="134">
        <v>7425</v>
      </c>
      <c r="I33" s="134">
        <v>29787</v>
      </c>
      <c r="J33" s="88"/>
      <c r="K33" s="88"/>
      <c r="L33" s="88"/>
      <c r="M33" s="88"/>
      <c r="N33" s="88"/>
      <c r="P33" s="1"/>
      <c r="Q33" s="1"/>
      <c r="R33" s="1"/>
      <c r="S33" s="1"/>
      <c r="T33" s="1"/>
      <c r="U33" s="92"/>
      <c r="V33" s="753"/>
      <c r="W33" s="753"/>
      <c r="X33" s="753"/>
      <c r="Y33" s="148"/>
      <c r="Z33" s="148"/>
      <c r="AA33" s="92"/>
      <c r="AB33" s="753"/>
      <c r="AC33" s="753"/>
      <c r="AD33" s="753"/>
      <c r="AE33" s="148"/>
      <c r="AF33" s="148"/>
      <c r="AG33" s="92"/>
    </row>
    <row r="34" spans="1:33" ht="19.5" customHeight="1">
      <c r="A34" s="93"/>
      <c r="B34" s="84"/>
      <c r="C34" s="84"/>
      <c r="D34" s="85"/>
      <c r="E34" s="85"/>
      <c r="F34" s="85"/>
      <c r="G34" s="134"/>
      <c r="H34" s="134"/>
      <c r="I34" s="134"/>
      <c r="J34" s="88"/>
      <c r="K34" s="88"/>
      <c r="L34" s="88"/>
      <c r="M34" s="88"/>
      <c r="N34" s="88"/>
      <c r="P34" s="1"/>
      <c r="Q34" s="1"/>
      <c r="R34" s="1"/>
      <c r="S34" s="148"/>
      <c r="T34" s="148"/>
      <c r="U34" s="92"/>
      <c r="V34" s="2"/>
      <c r="W34" s="2"/>
      <c r="X34" s="2"/>
      <c r="Y34" s="148"/>
      <c r="Z34" s="148"/>
      <c r="AA34" s="92"/>
      <c r="AB34" s="2"/>
      <c r="AC34" s="2"/>
      <c r="AD34" s="2"/>
      <c r="AE34" s="148"/>
      <c r="AF34" s="148"/>
      <c r="AG34" s="92"/>
    </row>
    <row r="35" spans="1:33" ht="18.75" customHeight="1">
      <c r="A35" s="79" t="s">
        <v>75</v>
      </c>
      <c r="B35" s="80"/>
      <c r="C35" s="80"/>
      <c r="D35" s="81">
        <v>48082</v>
      </c>
      <c r="E35" s="81">
        <v>90734</v>
      </c>
      <c r="F35" s="81">
        <v>71328</v>
      </c>
      <c r="G35" s="81">
        <v>85717</v>
      </c>
      <c r="H35" s="81">
        <v>119815</v>
      </c>
      <c r="I35" s="81">
        <v>158826</v>
      </c>
      <c r="J35" s="123"/>
      <c r="K35" s="123"/>
      <c r="L35" s="123"/>
      <c r="M35" s="123"/>
      <c r="N35" s="123"/>
      <c r="P35" s="1"/>
      <c r="Q35" s="1"/>
      <c r="R35" s="1"/>
      <c r="S35" s="148"/>
      <c r="T35" s="148"/>
      <c r="U35" s="92"/>
      <c r="V35" s="753"/>
      <c r="W35" s="753"/>
      <c r="X35" s="753"/>
      <c r="Y35" s="148"/>
      <c r="Z35" s="148"/>
      <c r="AA35" s="92"/>
      <c r="AB35" s="753"/>
      <c r="AC35" s="753"/>
      <c r="AD35" s="753"/>
      <c r="AE35" s="148"/>
      <c r="AF35" s="148"/>
      <c r="AG35" s="92"/>
    </row>
    <row r="36" spans="1:33" ht="18.75" customHeight="1">
      <c r="A36" s="93"/>
      <c r="B36" s="84"/>
      <c r="C36" s="84"/>
      <c r="D36" s="85"/>
      <c r="E36" s="85"/>
      <c r="F36" s="85"/>
      <c r="G36" s="134"/>
      <c r="H36" s="134"/>
      <c r="I36" s="134"/>
      <c r="J36" s="88"/>
      <c r="K36" s="88"/>
      <c r="L36" s="88"/>
      <c r="M36" s="88"/>
      <c r="N36" s="88"/>
      <c r="P36" s="1"/>
      <c r="Q36" s="149"/>
      <c r="R36" s="1"/>
      <c r="S36" s="148"/>
      <c r="T36" s="148"/>
      <c r="U36" s="92"/>
      <c r="V36" s="2"/>
      <c r="W36" s="2"/>
      <c r="X36" s="2"/>
      <c r="Y36" s="148"/>
      <c r="Z36" s="148"/>
      <c r="AA36" s="92"/>
      <c r="AB36" s="2"/>
      <c r="AC36" s="2"/>
      <c r="AD36" s="2"/>
      <c r="AE36" s="148"/>
      <c r="AF36" s="148"/>
      <c r="AG36" s="92"/>
    </row>
    <row r="37" spans="1:33" ht="19.5" customHeight="1">
      <c r="A37" s="93" t="s">
        <v>338</v>
      </c>
      <c r="B37" s="84"/>
      <c r="C37" s="84"/>
      <c r="D37" s="134">
        <v>7813</v>
      </c>
      <c r="E37" s="134">
        <v>14701</v>
      </c>
      <c r="F37" s="134">
        <v>11356</v>
      </c>
      <c r="G37" s="134">
        <v>11922</v>
      </c>
      <c r="H37" s="134">
        <v>19697</v>
      </c>
      <c r="I37" s="134">
        <v>26656</v>
      </c>
      <c r="J37" s="88"/>
      <c r="K37" s="88"/>
      <c r="L37" s="88"/>
      <c r="M37" s="88"/>
      <c r="N37" s="88"/>
      <c r="P37" s="1"/>
      <c r="Q37" s="149"/>
      <c r="R37" s="1"/>
      <c r="S37" s="148"/>
      <c r="T37" s="148"/>
      <c r="U37" s="92"/>
      <c r="V37" s="753"/>
      <c r="W37" s="753"/>
      <c r="X37" s="753"/>
      <c r="Y37" s="148"/>
      <c r="Z37" s="148"/>
      <c r="AA37" s="92"/>
      <c r="AB37" s="753"/>
      <c r="AC37" s="753"/>
      <c r="AD37" s="753"/>
      <c r="AE37" s="148"/>
      <c r="AF37" s="148"/>
      <c r="AG37" s="92"/>
    </row>
    <row r="38" spans="1:33" ht="15.75" customHeight="1">
      <c r="A38" s="150"/>
      <c r="B38" s="150"/>
      <c r="C38" s="150"/>
      <c r="D38" s="85"/>
      <c r="E38" s="85"/>
      <c r="F38" s="85"/>
      <c r="G38" s="134"/>
      <c r="H38" s="134"/>
      <c r="I38" s="134"/>
      <c r="J38" s="88"/>
      <c r="K38" s="88"/>
      <c r="L38" s="88"/>
      <c r="M38" s="88"/>
      <c r="N38" s="88"/>
      <c r="Q38" s="1"/>
      <c r="R38" s="1"/>
      <c r="S38" s="1"/>
      <c r="T38" s="1"/>
    </row>
    <row r="39" spans="1:33" ht="16.5" customHeight="1">
      <c r="A39" s="171" t="s">
        <v>78</v>
      </c>
      <c r="B39" s="172"/>
      <c r="C39" s="172"/>
      <c r="D39" s="173">
        <v>40269</v>
      </c>
      <c r="E39" s="173">
        <v>76033</v>
      </c>
      <c r="F39" s="173">
        <v>59972</v>
      </c>
      <c r="G39" s="173">
        <v>73795</v>
      </c>
      <c r="H39" s="173">
        <v>100118</v>
      </c>
      <c r="I39" s="173">
        <v>132170</v>
      </c>
      <c r="J39" s="554"/>
      <c r="K39" s="554"/>
      <c r="L39" s="554"/>
      <c r="M39" s="554"/>
      <c r="N39" s="554"/>
      <c r="Q39" s="1"/>
      <c r="R39" s="1"/>
      <c r="S39" s="1"/>
      <c r="T39" s="1"/>
    </row>
    <row r="40" spans="1:33" ht="18.75" customHeight="1">
      <c r="A40" s="152"/>
      <c r="B40" s="152"/>
      <c r="C40" s="152"/>
      <c r="G40" s="153"/>
      <c r="P40" s="1"/>
      <c r="Q40" s="1"/>
      <c r="R40" s="1"/>
      <c r="S40" s="1"/>
      <c r="T40" s="1"/>
      <c r="U40" s="92"/>
      <c r="V40" s="753"/>
      <c r="W40" s="753"/>
      <c r="X40" s="753"/>
      <c r="Y40" s="90"/>
      <c r="Z40" s="91"/>
      <c r="AA40" s="92"/>
      <c r="AB40" s="753"/>
      <c r="AC40" s="753"/>
      <c r="AD40" s="753"/>
      <c r="AE40" s="90"/>
      <c r="AF40" s="91"/>
      <c r="AG40" s="92"/>
    </row>
    <row r="41" spans="1:33" ht="15" customHeight="1">
      <c r="Q41" s="1"/>
      <c r="R41" s="1"/>
      <c r="S41" s="1"/>
      <c r="T41" s="1"/>
    </row>
  </sheetData>
  <mergeCells count="9">
    <mergeCell ref="V37:X37"/>
    <mergeCell ref="AB37:AD37"/>
    <mergeCell ref="V40:X40"/>
    <mergeCell ref="AB40:AD40"/>
    <mergeCell ref="A5:C5"/>
    <mergeCell ref="V33:X33"/>
    <mergeCell ref="AB33:AD33"/>
    <mergeCell ref="V35:X35"/>
    <mergeCell ref="AB35:AD35"/>
  </mergeCells>
  <pageMargins left="0.7" right="0.7" top="0.75" bottom="0.75"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L63"/>
  <sheetViews>
    <sheetView showGridLines="0" zoomScale="92" zoomScaleNormal="92" workbookViewId="0">
      <pane xSplit="3" ySplit="5" topLeftCell="D14" activePane="bottomRight" state="frozen"/>
      <selection pane="bottomRight" activeCell="A27" sqref="A27"/>
      <selection pane="bottomLeft" activeCell="A14" sqref="A14"/>
      <selection pane="topRight" activeCell="D1" sqref="D1"/>
    </sheetView>
  </sheetViews>
  <sheetFormatPr defaultColWidth="8.5" defaultRowHeight="14.25"/>
  <cols>
    <col min="1" max="1" width="2" customWidth="1"/>
    <col min="2" max="2" width="3.625" customWidth="1"/>
    <col min="3" max="6" width="19.625" customWidth="1"/>
    <col min="7" max="12" width="9.875" customWidth="1"/>
    <col min="13" max="13" width="10.125" customWidth="1"/>
    <col min="14" max="14" width="10" customWidth="1"/>
    <col min="15" max="17" width="10.375" customWidth="1"/>
    <col min="19" max="19" width="13" customWidth="1"/>
    <col min="20" max="20" width="10.125" customWidth="1"/>
    <col min="21" max="21" width="10.875" customWidth="1"/>
  </cols>
  <sheetData>
    <row r="1" spans="1:36" ht="15" customHeight="1">
      <c r="A1" s="71"/>
    </row>
    <row r="5" spans="1:36" ht="15" customHeight="1">
      <c r="A5" s="746" t="s">
        <v>222</v>
      </c>
      <c r="B5" s="746"/>
      <c r="C5" s="746"/>
      <c r="D5" s="227">
        <v>2017</v>
      </c>
      <c r="E5" s="227">
        <v>2018</v>
      </c>
      <c r="F5" s="227">
        <v>2019</v>
      </c>
      <c r="G5" s="76">
        <v>2020</v>
      </c>
      <c r="H5" s="76">
        <v>2021</v>
      </c>
      <c r="I5" s="76">
        <v>2022</v>
      </c>
      <c r="J5" s="76">
        <v>2023</v>
      </c>
      <c r="K5" s="76">
        <v>2024</v>
      </c>
      <c r="L5" s="76">
        <v>2025</v>
      </c>
      <c r="M5" s="77">
        <v>2026</v>
      </c>
      <c r="N5" s="77">
        <v>2027</v>
      </c>
      <c r="O5" s="77">
        <v>2028</v>
      </c>
      <c r="P5" s="77">
        <v>2029</v>
      </c>
      <c r="Q5" s="77">
        <v>2030</v>
      </c>
    </row>
    <row r="6" spans="1:36" s="1" customFormat="1" ht="18.75" customHeight="1">
      <c r="A6" s="79" t="s">
        <v>61</v>
      </c>
      <c r="B6" s="80"/>
      <c r="C6" s="80"/>
      <c r="D6" s="555"/>
      <c r="E6" s="555"/>
      <c r="F6" s="555"/>
      <c r="G6" s="81">
        <f t="shared" ref="G6:Q6" si="0">SUM(G8,G11,G14,G17,G22,G27,G30)</f>
        <v>182527</v>
      </c>
      <c r="H6" s="81">
        <f t="shared" si="0"/>
        <v>257637</v>
      </c>
      <c r="I6" s="81">
        <f t="shared" si="0"/>
        <v>282836</v>
      </c>
      <c r="J6" s="81">
        <f t="shared" si="0"/>
        <v>307394</v>
      </c>
      <c r="K6" s="81">
        <f t="shared" si="0"/>
        <v>350018</v>
      </c>
      <c r="L6" s="81">
        <f t="shared" si="0"/>
        <v>402836</v>
      </c>
      <c r="M6" s="82" t="e">
        <f t="shared" si="0"/>
        <v>#REF!</v>
      </c>
      <c r="N6" s="82" t="e">
        <f t="shared" si="0"/>
        <v>#REF!</v>
      </c>
      <c r="O6" s="82" t="e">
        <f t="shared" si="0"/>
        <v>#REF!</v>
      </c>
      <c r="P6" s="82" t="e">
        <f t="shared" si="0"/>
        <v>#REF!</v>
      </c>
      <c r="Q6" s="82" t="e">
        <f t="shared" si="0"/>
        <v>#REF!</v>
      </c>
    </row>
    <row r="7" spans="1:36" ht="18.75" customHeight="1">
      <c r="A7" s="83"/>
      <c r="B7" s="84"/>
      <c r="C7" s="84"/>
      <c r="D7" s="556"/>
      <c r="E7" s="556"/>
      <c r="F7" s="556"/>
      <c r="G7" s="85"/>
      <c r="H7" s="86"/>
      <c r="I7" s="86"/>
      <c r="J7" s="86"/>
      <c r="K7" s="86"/>
      <c r="L7" s="86"/>
      <c r="M7" s="111" t="e">
        <f>M6/L6-1</f>
        <v>#REF!</v>
      </c>
      <c r="N7" s="111" t="e">
        <f>N6/M6-1</f>
        <v>#REF!</v>
      </c>
      <c r="O7" s="111" t="e">
        <f>O6/N6-1</f>
        <v>#REF!</v>
      </c>
      <c r="P7" s="111" t="e">
        <f>P6/O6-1</f>
        <v>#REF!</v>
      </c>
      <c r="Q7" s="111" t="e">
        <f>Q6/P6-1</f>
        <v>#REF!</v>
      </c>
      <c r="S7" s="98" t="e">
        <f>AVERAGE(M7:Q7)</f>
        <v>#REF!</v>
      </c>
      <c r="T7" s="1"/>
      <c r="U7" s="1"/>
      <c r="V7" s="1"/>
      <c r="W7" s="1"/>
      <c r="X7" s="1"/>
      <c r="Y7" s="1"/>
      <c r="Z7" s="1"/>
      <c r="AA7" s="2"/>
      <c r="AB7" s="90"/>
      <c r="AC7" s="91"/>
      <c r="AD7" s="92"/>
      <c r="AE7" s="2"/>
      <c r="AF7" s="2"/>
      <c r="AG7" s="2"/>
      <c r="AH7" s="90"/>
      <c r="AI7" s="91"/>
      <c r="AJ7" s="92"/>
    </row>
    <row r="8" spans="1:36" ht="18.75" customHeight="1">
      <c r="A8" s="93" t="s">
        <v>223</v>
      </c>
      <c r="B8" s="84"/>
      <c r="C8" s="84"/>
      <c r="D8" s="187">
        <v>69811</v>
      </c>
      <c r="E8" s="187">
        <v>85296</v>
      </c>
      <c r="F8" s="187">
        <v>98115</v>
      </c>
      <c r="G8" s="94">
        <v>104062</v>
      </c>
      <c r="H8" s="94">
        <v>148951</v>
      </c>
      <c r="I8" s="94">
        <v>162450</v>
      </c>
      <c r="J8" s="94">
        <v>175033</v>
      </c>
      <c r="K8" s="94">
        <v>198084</v>
      </c>
      <c r="L8" s="94">
        <v>224532</v>
      </c>
      <c r="M8" s="96" t="e">
        <f>(1+M9)*L8</f>
        <v>#REF!</v>
      </c>
      <c r="N8" s="96" t="e">
        <f>(1+N9)*M8</f>
        <v>#REF!</v>
      </c>
      <c r="O8" s="96" t="e">
        <f>(1+O9)*N8</f>
        <v>#REF!</v>
      </c>
      <c r="P8" s="96" t="e">
        <f>(1+P9)*O8</f>
        <v>#REF!</v>
      </c>
      <c r="Q8" s="96" t="e">
        <f>(1+Q9)*P8</f>
        <v>#REF!</v>
      </c>
      <c r="R8" s="75"/>
      <c r="S8" s="98"/>
      <c r="T8" s="95"/>
      <c r="U8" s="95"/>
      <c r="V8" s="95"/>
      <c r="W8" s="95"/>
      <c r="X8" s="95"/>
      <c r="Y8" s="95"/>
      <c r="Z8" s="2"/>
      <c r="AA8" s="2"/>
      <c r="AB8" s="90"/>
      <c r="AC8" s="91"/>
      <c r="AD8" s="92"/>
      <c r="AE8" s="2"/>
      <c r="AF8" s="2"/>
      <c r="AG8" s="2"/>
      <c r="AH8" s="90"/>
      <c r="AI8" s="91"/>
      <c r="AJ8" s="92"/>
    </row>
    <row r="9" spans="1:36" ht="18.75" customHeight="1">
      <c r="A9" s="93"/>
      <c r="B9" s="99" t="s">
        <v>224</v>
      </c>
      <c r="C9" s="84"/>
      <c r="D9" s="556"/>
      <c r="E9" s="556"/>
      <c r="F9" s="556"/>
      <c r="G9" s="94"/>
      <c r="H9" s="86">
        <f>H8/G8-1</f>
        <v>0.43136783840402826</v>
      </c>
      <c r="I9" s="86">
        <f>I8/H8-1</f>
        <v>9.0627118985438182E-2</v>
      </c>
      <c r="J9" s="86">
        <f>J8/I8-1</f>
        <v>7.7457679285934056E-2</v>
      </c>
      <c r="K9" s="86">
        <f>K8/J8-1</f>
        <v>0.13169516605440124</v>
      </c>
      <c r="L9" s="86">
        <f>L8/K8-1</f>
        <v>0.13351911310353182</v>
      </c>
      <c r="M9" s="100" t="e">
        <f>#REF!</f>
        <v>#REF!</v>
      </c>
      <c r="N9" s="100" t="e">
        <f>#REF!</f>
        <v>#REF!</v>
      </c>
      <c r="O9" s="100" t="e">
        <f>#REF!</f>
        <v>#REF!</v>
      </c>
      <c r="P9" s="100" t="e">
        <f>#REF!</f>
        <v>#REF!</v>
      </c>
      <c r="Q9" s="100" t="e">
        <f>#REF!</f>
        <v>#REF!</v>
      </c>
      <c r="R9" s="75"/>
      <c r="S9" s="89"/>
      <c r="T9" s="95"/>
      <c r="U9" s="95"/>
      <c r="V9" s="95"/>
      <c r="W9" s="95"/>
      <c r="X9" s="95"/>
      <c r="Y9" s="95"/>
      <c r="Z9" s="2"/>
      <c r="AA9" s="2"/>
      <c r="AB9" s="90"/>
      <c r="AC9" s="91"/>
      <c r="AD9" s="92"/>
      <c r="AE9" s="2"/>
      <c r="AF9" s="2"/>
      <c r="AG9" s="2"/>
      <c r="AH9" s="90"/>
      <c r="AI9" s="91"/>
      <c r="AJ9" s="92"/>
    </row>
    <row r="10" spans="1:36" ht="18.75" customHeight="1">
      <c r="A10" s="93"/>
      <c r="B10" s="84"/>
      <c r="C10" s="84"/>
      <c r="D10" s="556"/>
      <c r="E10" s="556"/>
      <c r="F10" s="556"/>
      <c r="G10" s="94"/>
      <c r="H10" s="86"/>
      <c r="I10" s="86"/>
      <c r="J10" s="86"/>
      <c r="K10" s="86"/>
      <c r="L10" s="86"/>
      <c r="M10" s="88"/>
      <c r="N10" s="88"/>
      <c r="O10" s="88"/>
      <c r="P10" s="88"/>
      <c r="Q10" s="88"/>
      <c r="R10" s="75"/>
      <c r="S10" s="89"/>
      <c r="T10" s="95"/>
      <c r="U10" s="95"/>
      <c r="V10" s="95"/>
      <c r="W10" s="95"/>
      <c r="X10" s="95"/>
      <c r="Y10" s="95"/>
      <c r="Z10" s="2"/>
      <c r="AA10" s="2"/>
      <c r="AB10" s="90"/>
      <c r="AC10" s="91"/>
      <c r="AD10" s="92"/>
      <c r="AE10" s="2"/>
      <c r="AF10" s="2"/>
      <c r="AG10" s="2"/>
      <c r="AH10" s="90"/>
      <c r="AI10" s="91"/>
      <c r="AJ10" s="92"/>
    </row>
    <row r="11" spans="1:36" ht="18.75" customHeight="1">
      <c r="A11" s="93" t="s">
        <v>225</v>
      </c>
      <c r="B11" s="84"/>
      <c r="C11" s="84"/>
      <c r="D11" s="187">
        <v>8150</v>
      </c>
      <c r="E11" s="187">
        <v>11155</v>
      </c>
      <c r="F11" s="187">
        <v>15149</v>
      </c>
      <c r="G11" s="94">
        <v>19772</v>
      </c>
      <c r="H11" s="94">
        <v>28845</v>
      </c>
      <c r="I11" s="94">
        <v>29243</v>
      </c>
      <c r="J11" s="94">
        <v>31510</v>
      </c>
      <c r="K11" s="94">
        <v>36147</v>
      </c>
      <c r="L11" s="94">
        <v>40367</v>
      </c>
      <c r="M11" s="96" t="e">
        <f>(M12+1)*L11</f>
        <v>#REF!</v>
      </c>
      <c r="N11" s="96" t="e">
        <f>(N12+1)*M11</f>
        <v>#REF!</v>
      </c>
      <c r="O11" s="96" t="e">
        <f>(O12+1)*N11</f>
        <v>#REF!</v>
      </c>
      <c r="P11" s="96" t="e">
        <f>(P12+1)*O11</f>
        <v>#REF!</v>
      </c>
      <c r="Q11" s="96" t="e">
        <f>(Q12+1)*P11</f>
        <v>#REF!</v>
      </c>
      <c r="R11" s="75"/>
      <c r="S11" s="89"/>
      <c r="T11" s="95"/>
      <c r="U11" s="95"/>
      <c r="V11" s="95"/>
      <c r="W11" s="95"/>
      <c r="X11" s="95"/>
      <c r="Y11" s="95"/>
      <c r="Z11" s="2"/>
      <c r="AA11" s="2"/>
      <c r="AB11" s="90"/>
      <c r="AC11" s="91"/>
      <c r="AD11" s="92"/>
      <c r="AE11" s="2"/>
      <c r="AF11" s="2"/>
      <c r="AG11" s="2"/>
      <c r="AH11" s="90"/>
      <c r="AI11" s="91"/>
      <c r="AJ11" s="92"/>
    </row>
    <row r="12" spans="1:36" ht="18.75" customHeight="1">
      <c r="A12" s="93"/>
      <c r="B12" s="99" t="s">
        <v>224</v>
      </c>
      <c r="C12" s="84"/>
      <c r="D12" s="556"/>
      <c r="E12" s="556"/>
      <c r="F12" s="556"/>
      <c r="G12" s="94"/>
      <c r="H12" s="86">
        <f>H11/G11-1</f>
        <v>0.45888124620675708</v>
      </c>
      <c r="I12" s="86">
        <f>I11/H11-1</f>
        <v>1.3797885248743258E-2</v>
      </c>
      <c r="J12" s="86">
        <f>J11/I11-1</f>
        <v>7.7522825975447018E-2</v>
      </c>
      <c r="K12" s="86">
        <f>K11/J11-1</f>
        <v>0.14715963186290071</v>
      </c>
      <c r="L12" s="86">
        <f>L11/K11-1</f>
        <v>0.11674551138407052</v>
      </c>
      <c r="M12" s="100" t="e">
        <f>#REF!</f>
        <v>#REF!</v>
      </c>
      <c r="N12" s="100" t="e">
        <f>#REF!</f>
        <v>#REF!</v>
      </c>
      <c r="O12" s="100" t="e">
        <f>#REF!</f>
        <v>#REF!</v>
      </c>
      <c r="P12" s="100" t="e">
        <f>#REF!</f>
        <v>#REF!</v>
      </c>
      <c r="Q12" s="100" t="e">
        <f>#REF!</f>
        <v>#REF!</v>
      </c>
      <c r="R12" s="75"/>
      <c r="S12" s="89"/>
      <c r="T12" s="95"/>
      <c r="U12" s="95"/>
      <c r="V12" s="95"/>
      <c r="W12" s="95"/>
      <c r="X12" s="95"/>
      <c r="Y12" s="95"/>
      <c r="Z12" s="103"/>
      <c r="AA12" s="2"/>
      <c r="AB12" s="90"/>
      <c r="AC12" s="91"/>
      <c r="AD12" s="92"/>
      <c r="AE12" s="2"/>
      <c r="AF12" s="2"/>
      <c r="AG12" s="2"/>
      <c r="AH12" s="90"/>
      <c r="AI12" s="91"/>
      <c r="AJ12" s="92"/>
    </row>
    <row r="13" spans="1:36" ht="18.75" customHeight="1">
      <c r="A13" s="93"/>
      <c r="B13" s="84"/>
      <c r="C13" s="84"/>
      <c r="D13" s="556"/>
      <c r="E13" s="556"/>
      <c r="F13" s="556"/>
      <c r="G13" s="94"/>
      <c r="H13" s="86"/>
      <c r="I13" s="86"/>
      <c r="J13" s="86"/>
      <c r="K13" s="86"/>
      <c r="L13" s="86"/>
      <c r="M13" s="88"/>
      <c r="N13" s="88"/>
      <c r="O13" s="88"/>
      <c r="P13" s="88"/>
      <c r="Q13" s="88"/>
      <c r="R13" s="75"/>
      <c r="S13" s="89"/>
      <c r="T13" s="95"/>
      <c r="U13" s="95"/>
      <c r="V13" s="95"/>
      <c r="W13" s="95"/>
      <c r="X13" s="95"/>
      <c r="Y13" s="95"/>
      <c r="Z13" s="2"/>
      <c r="AA13" s="2"/>
      <c r="AB13" s="90"/>
      <c r="AC13" s="91"/>
      <c r="AD13" s="92"/>
      <c r="AE13" s="2"/>
      <c r="AF13" s="2"/>
      <c r="AG13" s="2"/>
      <c r="AH13" s="90"/>
      <c r="AI13" s="91"/>
      <c r="AJ13" s="92"/>
    </row>
    <row r="14" spans="1:36" ht="18.75" customHeight="1">
      <c r="A14" s="93" t="s">
        <v>226</v>
      </c>
      <c r="B14" s="84"/>
      <c r="C14" s="84"/>
      <c r="D14" s="187">
        <v>17616</v>
      </c>
      <c r="E14" s="187">
        <v>20010</v>
      </c>
      <c r="F14" s="187">
        <v>21547</v>
      </c>
      <c r="G14" s="94">
        <v>23090</v>
      </c>
      <c r="H14" s="94">
        <v>31701</v>
      </c>
      <c r="I14" s="94">
        <v>32780</v>
      </c>
      <c r="J14" s="94">
        <v>31312</v>
      </c>
      <c r="K14" s="94">
        <v>30359</v>
      </c>
      <c r="L14" s="94">
        <v>29792</v>
      </c>
      <c r="M14" s="96">
        <f>(1+M15)*L14</f>
        <v>29494.079999999998</v>
      </c>
      <c r="N14" s="96">
        <f>(1+N15)*M14</f>
        <v>29258.127359999999</v>
      </c>
      <c r="O14" s="96">
        <f>(1+O15)*N14</f>
        <v>29082.578595839997</v>
      </c>
      <c r="P14" s="96">
        <f>(1+P15)*O14</f>
        <v>28966.248281456636</v>
      </c>
      <c r="Q14" s="96">
        <f>(1+Q15)*P14</f>
        <v>28908.315784893723</v>
      </c>
      <c r="R14" s="75"/>
      <c r="S14" s="98"/>
      <c r="T14" s="1"/>
      <c r="U14" s="1"/>
      <c r="V14" s="1"/>
      <c r="W14" s="1"/>
      <c r="X14" s="92"/>
      <c r="Y14" s="2"/>
      <c r="Z14" s="2"/>
      <c r="AA14" s="2"/>
      <c r="AB14" s="90"/>
      <c r="AC14" s="91"/>
      <c r="AD14" s="92"/>
      <c r="AE14" s="2"/>
      <c r="AF14" s="2"/>
      <c r="AG14" s="2"/>
      <c r="AH14" s="90"/>
      <c r="AI14" s="91"/>
      <c r="AJ14" s="92"/>
    </row>
    <row r="15" spans="1:36" ht="18.75" customHeight="1">
      <c r="A15" s="93"/>
      <c r="B15" s="99" t="s">
        <v>224</v>
      </c>
      <c r="C15" s="84"/>
      <c r="D15" s="556"/>
      <c r="E15" s="556"/>
      <c r="F15" s="556"/>
      <c r="G15" s="94"/>
      <c r="H15" s="86">
        <f>H14/G14-1</f>
        <v>0.37293200519705505</v>
      </c>
      <c r="I15" s="86">
        <f>I14/H14-1</f>
        <v>3.4036781174095365E-2</v>
      </c>
      <c r="J15" s="86">
        <f>J14/I14-1</f>
        <v>-4.4783404514948111E-2</v>
      </c>
      <c r="K15" s="86">
        <f>K14/J14-1</f>
        <v>-3.0435615738375055E-2</v>
      </c>
      <c r="L15" s="86">
        <f>L14/K14-1</f>
        <v>-1.8676504496195512E-2</v>
      </c>
      <c r="M15" s="100">
        <v>-0.01</v>
      </c>
      <c r="N15" s="100">
        <f>M15+0.2%</f>
        <v>-8.0000000000000002E-3</v>
      </c>
      <c r="O15" s="100">
        <f>N15+0.2%</f>
        <v>-6.0000000000000001E-3</v>
      </c>
      <c r="P15" s="100">
        <f>O15+0.2%</f>
        <v>-4.0000000000000001E-3</v>
      </c>
      <c r="Q15" s="100">
        <f>P15+0.2%</f>
        <v>-2E-3</v>
      </c>
      <c r="R15" s="75"/>
      <c r="S15" s="89"/>
      <c r="T15" s="1"/>
      <c r="U15" s="1"/>
      <c r="V15" s="1"/>
      <c r="W15" s="1"/>
      <c r="X15" s="92"/>
      <c r="Y15" s="2"/>
      <c r="Z15" s="2"/>
      <c r="AA15" s="2"/>
      <c r="AB15" s="90"/>
      <c r="AC15" s="91"/>
      <c r="AD15" s="92"/>
      <c r="AE15" s="2"/>
      <c r="AF15" s="2"/>
      <c r="AG15" s="2"/>
      <c r="AH15" s="90"/>
      <c r="AI15" s="91"/>
      <c r="AJ15" s="92"/>
    </row>
    <row r="16" spans="1:36" ht="18.75" customHeight="1">
      <c r="A16" s="93"/>
      <c r="B16" s="84"/>
      <c r="C16" s="84"/>
      <c r="D16" s="556"/>
      <c r="E16" s="556"/>
      <c r="F16" s="556"/>
      <c r="G16" s="94"/>
      <c r="H16" s="86"/>
      <c r="I16" s="86"/>
      <c r="J16" s="86"/>
      <c r="K16" s="86"/>
      <c r="L16" s="86"/>
      <c r="M16" s="88"/>
      <c r="N16" s="88"/>
      <c r="O16" s="88"/>
      <c r="P16" s="88"/>
      <c r="Q16" s="88"/>
      <c r="R16" s="118"/>
      <c r="S16" s="89"/>
      <c r="T16" s="1"/>
      <c r="U16" s="1"/>
      <c r="V16" s="1"/>
      <c r="W16" s="1"/>
      <c r="X16" s="92"/>
      <c r="Y16" s="2"/>
      <c r="Z16" s="2"/>
      <c r="AA16" s="2"/>
      <c r="AB16" s="90"/>
      <c r="AC16" s="91"/>
      <c r="AD16" s="92"/>
      <c r="AE16" s="2"/>
      <c r="AF16" s="2"/>
      <c r="AG16" s="2"/>
      <c r="AH16" s="90"/>
      <c r="AI16" s="91"/>
      <c r="AJ16" s="92"/>
    </row>
    <row r="17" spans="1:36" ht="18.75" customHeight="1">
      <c r="A17" s="93" t="s">
        <v>227</v>
      </c>
      <c r="B17" s="84"/>
      <c r="C17" s="84"/>
      <c r="D17" s="187">
        <v>10914</v>
      </c>
      <c r="E17" s="187">
        <v>14063</v>
      </c>
      <c r="F17" s="187">
        <v>17014</v>
      </c>
      <c r="G17" s="94">
        <v>21711</v>
      </c>
      <c r="H17" s="94">
        <v>28032</v>
      </c>
      <c r="I17" s="94">
        <v>29055</v>
      </c>
      <c r="J17" s="94">
        <v>34688</v>
      </c>
      <c r="K17" s="94">
        <v>40340</v>
      </c>
      <c r="L17" s="94">
        <v>48030</v>
      </c>
      <c r="M17" s="104" t="e">
        <f>(1+M18)*L17</f>
        <v>#REF!</v>
      </c>
      <c r="N17" s="104" t="e">
        <f>(1+N18)*M17</f>
        <v>#REF!</v>
      </c>
      <c r="O17" s="104" t="e">
        <f>(1+O18)*N17</f>
        <v>#REF!</v>
      </c>
      <c r="P17" s="104" t="e">
        <f>(1+P18)*O17</f>
        <v>#REF!</v>
      </c>
      <c r="Q17" s="104" t="e">
        <f>(1+Q18)*P17</f>
        <v>#REF!</v>
      </c>
      <c r="R17" s="75"/>
      <c r="S17" s="89"/>
      <c r="T17" s="1"/>
      <c r="U17" s="1"/>
      <c r="V17" s="1"/>
      <c r="W17" s="1"/>
      <c r="X17" s="92"/>
      <c r="Y17" s="2"/>
      <c r="Z17" s="2"/>
      <c r="AA17" s="2"/>
      <c r="AB17" s="90"/>
      <c r="AC17" s="91"/>
      <c r="AD17" s="92"/>
      <c r="AE17" s="2"/>
      <c r="AF17" s="2"/>
      <c r="AG17" s="2"/>
      <c r="AH17" s="90"/>
      <c r="AI17" s="91"/>
      <c r="AJ17" s="92"/>
    </row>
    <row r="18" spans="1:36" ht="18.75" customHeight="1">
      <c r="A18" s="93"/>
      <c r="B18" s="84"/>
      <c r="C18" s="84"/>
      <c r="D18" s="556"/>
      <c r="E18" s="556"/>
      <c r="F18" s="556"/>
      <c r="G18" s="94"/>
      <c r="H18" s="86">
        <f>H17/G17-1</f>
        <v>0.29114273870388274</v>
      </c>
      <c r="I18" s="86">
        <f>I17/H17-1</f>
        <v>3.6494006849315141E-2</v>
      </c>
      <c r="J18" s="86">
        <f>J17/I17-1</f>
        <v>0.19387368783341929</v>
      </c>
      <c r="K18" s="86">
        <f>K17/J17-1</f>
        <v>0.16293819188191883</v>
      </c>
      <c r="L18" s="86">
        <f>L17/K17-1</f>
        <v>0.1906296479920675</v>
      </c>
      <c r="M18" s="100" t="e">
        <f>#REF!</f>
        <v>#REF!</v>
      </c>
      <c r="N18" s="100" t="e">
        <f>#REF!</f>
        <v>#REF!</v>
      </c>
      <c r="O18" s="100" t="e">
        <f>#REF!</f>
        <v>#REF!</v>
      </c>
      <c r="P18" s="100" t="e">
        <f>#REF!</f>
        <v>#REF!</v>
      </c>
      <c r="Q18" s="100" t="e">
        <f>#REF!</f>
        <v>#REF!</v>
      </c>
      <c r="R18" s="75"/>
      <c r="S18" s="89"/>
      <c r="T18" s="1"/>
      <c r="U18" s="1"/>
      <c r="V18" s="1"/>
      <c r="W18" s="1"/>
      <c r="X18" s="92"/>
      <c r="Y18" s="2"/>
      <c r="Z18" s="2"/>
      <c r="AA18" s="2"/>
      <c r="AB18" s="90"/>
      <c r="AC18" s="91"/>
      <c r="AD18" s="92"/>
      <c r="AE18" s="2"/>
      <c r="AF18" s="2"/>
      <c r="AG18" s="2"/>
      <c r="AH18" s="90"/>
      <c r="AI18" s="91"/>
      <c r="AJ18" s="92"/>
    </row>
    <row r="19" spans="1:36" ht="18.75" customHeight="1">
      <c r="A19" s="93"/>
      <c r="B19" s="84"/>
      <c r="C19" s="84"/>
      <c r="D19" s="556"/>
      <c r="E19" s="556"/>
      <c r="F19" s="556"/>
      <c r="G19" s="94"/>
      <c r="H19" s="86"/>
      <c r="I19" s="86"/>
      <c r="J19" s="86"/>
      <c r="K19" s="86"/>
      <c r="L19" s="86"/>
      <c r="M19" s="105"/>
      <c r="N19" s="105"/>
      <c r="O19" s="105"/>
      <c r="P19" s="105"/>
      <c r="Q19" s="105"/>
      <c r="R19" s="75"/>
      <c r="S19" s="89"/>
      <c r="T19" s="1"/>
      <c r="U19" s="1"/>
      <c r="V19" s="1"/>
      <c r="W19" s="1"/>
      <c r="X19" s="92"/>
      <c r="Y19" s="2"/>
      <c r="Z19" s="2"/>
      <c r="AA19" s="2"/>
      <c r="AB19" s="90"/>
      <c r="AC19" s="91"/>
      <c r="AD19" s="92"/>
      <c r="AE19" s="2"/>
      <c r="AF19" s="2"/>
      <c r="AG19" s="2"/>
      <c r="AH19" s="90"/>
      <c r="AI19" s="91"/>
      <c r="AJ19" s="92"/>
    </row>
    <row r="20" spans="1:36" ht="18.75" customHeight="1">
      <c r="A20" s="106" t="s">
        <v>228</v>
      </c>
      <c r="B20" s="107"/>
      <c r="C20" s="107"/>
      <c r="D20" s="557"/>
      <c r="E20" s="557"/>
      <c r="F20" s="557"/>
      <c r="G20" s="108">
        <f t="shared" ref="G20:Q20" si="1">SUM(G17,G14,G11,G8)</f>
        <v>168635</v>
      </c>
      <c r="H20" s="108">
        <f t="shared" si="1"/>
        <v>237529</v>
      </c>
      <c r="I20" s="108">
        <f t="shared" si="1"/>
        <v>253528</v>
      </c>
      <c r="J20" s="108">
        <f t="shared" si="1"/>
        <v>272543</v>
      </c>
      <c r="K20" s="108">
        <f t="shared" si="1"/>
        <v>304930</v>
      </c>
      <c r="L20" s="108">
        <f t="shared" si="1"/>
        <v>342721</v>
      </c>
      <c r="M20" s="110" t="e">
        <f t="shared" si="1"/>
        <v>#REF!</v>
      </c>
      <c r="N20" s="110" t="e">
        <f t="shared" si="1"/>
        <v>#REF!</v>
      </c>
      <c r="O20" s="110" t="e">
        <f t="shared" si="1"/>
        <v>#REF!</v>
      </c>
      <c r="P20" s="110" t="e">
        <f t="shared" si="1"/>
        <v>#REF!</v>
      </c>
      <c r="Q20" s="110" t="e">
        <f t="shared" si="1"/>
        <v>#REF!</v>
      </c>
      <c r="R20" s="75"/>
      <c r="S20" s="89"/>
      <c r="T20" s="1"/>
      <c r="U20" s="1"/>
      <c r="V20" s="1"/>
      <c r="W20" s="1"/>
      <c r="X20" s="92"/>
      <c r="Y20" s="2"/>
      <c r="Z20" s="2"/>
      <c r="AA20" s="2"/>
      <c r="AB20" s="90"/>
      <c r="AC20" s="91"/>
      <c r="AD20" s="92"/>
      <c r="AE20" s="2"/>
      <c r="AF20" s="2"/>
      <c r="AG20" s="2"/>
      <c r="AH20" s="90"/>
      <c r="AI20" s="91"/>
      <c r="AJ20" s="92"/>
    </row>
    <row r="21" spans="1:36" ht="18.75" customHeight="1">
      <c r="A21" s="93"/>
      <c r="B21" s="84"/>
      <c r="C21" s="84"/>
      <c r="D21" s="556"/>
      <c r="E21" s="556"/>
      <c r="F21" s="556"/>
      <c r="G21" s="94"/>
      <c r="H21" s="86"/>
      <c r="I21" s="86"/>
      <c r="J21" s="86"/>
      <c r="K21" s="86"/>
      <c r="L21" s="86"/>
      <c r="M21" s="88"/>
      <c r="N21" s="88"/>
      <c r="O21" s="88"/>
      <c r="P21" s="88"/>
      <c r="Q21" s="88"/>
      <c r="R21" s="75"/>
      <c r="S21" s="89"/>
      <c r="T21" s="1"/>
      <c r="U21" s="1"/>
      <c r="V21" s="1"/>
      <c r="W21" s="1"/>
      <c r="X21" s="92"/>
      <c r="Y21" s="2"/>
      <c r="Z21" s="2"/>
      <c r="AA21" s="2"/>
      <c r="AB21" s="90"/>
      <c r="AC21" s="91"/>
      <c r="AD21" s="92"/>
      <c r="AE21" s="2"/>
      <c r="AF21" s="2"/>
      <c r="AG21" s="2"/>
      <c r="AH21" s="90"/>
      <c r="AI21" s="91"/>
      <c r="AJ21" s="92"/>
    </row>
    <row r="22" spans="1:36" ht="18.75" customHeight="1">
      <c r="A22" s="93" t="s">
        <v>229</v>
      </c>
      <c r="B22" s="84"/>
      <c r="C22" s="84"/>
      <c r="D22" s="187">
        <v>4056</v>
      </c>
      <c r="E22" s="187">
        <v>5838</v>
      </c>
      <c r="F22" s="187">
        <v>8918</v>
      </c>
      <c r="G22" s="94">
        <v>13059</v>
      </c>
      <c r="H22" s="94">
        <v>19206</v>
      </c>
      <c r="I22" s="94">
        <v>26280</v>
      </c>
      <c r="J22" s="94">
        <v>33088</v>
      </c>
      <c r="K22" s="94">
        <v>43229</v>
      </c>
      <c r="L22" s="94">
        <v>58705</v>
      </c>
      <c r="M22" s="104" t="e">
        <f>L22*(1+M24)*(M25/L25)</f>
        <v>#REF!</v>
      </c>
      <c r="N22" s="104" t="e">
        <f>M22*(1+N24)*(N25/M25)</f>
        <v>#REF!</v>
      </c>
      <c r="O22" s="104" t="e">
        <f>N22*(1+O24)*(O25/N25)</f>
        <v>#REF!</v>
      </c>
      <c r="P22" s="104" t="e">
        <f>O22*(1+P24)*(P25/O25)</f>
        <v>#REF!</v>
      </c>
      <c r="Q22" s="104" t="e">
        <f>P22*(1+Q24)*(Q25/P25)</f>
        <v>#REF!</v>
      </c>
      <c r="R22" s="75"/>
      <c r="S22" s="89"/>
      <c r="T22" s="1"/>
      <c r="U22" s="1"/>
      <c r="V22" s="1"/>
      <c r="W22" s="1"/>
      <c r="X22" s="92"/>
      <c r="Y22" s="2"/>
      <c r="Z22" s="2"/>
      <c r="AA22" s="2"/>
      <c r="AB22" s="90"/>
      <c r="AC22" s="91"/>
      <c r="AD22" s="92"/>
      <c r="AE22" s="2"/>
      <c r="AF22" s="2"/>
      <c r="AG22" s="2"/>
      <c r="AH22" s="90"/>
      <c r="AI22" s="91"/>
      <c r="AJ22" s="92"/>
    </row>
    <row r="23" spans="1:36" ht="18.75" customHeight="1">
      <c r="A23" s="93" t="s">
        <v>62</v>
      </c>
      <c r="B23" s="84"/>
      <c r="C23" s="84"/>
      <c r="D23" s="556"/>
      <c r="E23" s="556"/>
      <c r="F23" s="556"/>
      <c r="G23" s="94"/>
      <c r="H23" s="86">
        <f t="shared" ref="H23:Q23" si="2">H22/G22-1</f>
        <v>0.47070985527222597</v>
      </c>
      <c r="I23" s="86">
        <f t="shared" si="2"/>
        <v>0.36832239925023424</v>
      </c>
      <c r="J23" s="86">
        <f t="shared" si="2"/>
        <v>0.25905631659056327</v>
      </c>
      <c r="K23" s="86">
        <f t="shared" si="2"/>
        <v>0.30648573500967125</v>
      </c>
      <c r="L23" s="86">
        <f t="shared" si="2"/>
        <v>0.35800041638714752</v>
      </c>
      <c r="M23" s="558" t="e">
        <f t="shared" si="2"/>
        <v>#REF!</v>
      </c>
      <c r="N23" s="558" t="e">
        <f t="shared" si="2"/>
        <v>#REF!</v>
      </c>
      <c r="O23" s="558" t="e">
        <f t="shared" si="2"/>
        <v>#REF!</v>
      </c>
      <c r="P23" s="558" t="e">
        <f t="shared" si="2"/>
        <v>#REF!</v>
      </c>
      <c r="Q23" s="558" t="e">
        <f t="shared" si="2"/>
        <v>#REF!</v>
      </c>
      <c r="R23" s="75"/>
      <c r="S23" s="89"/>
      <c r="T23" s="1"/>
      <c r="U23" s="1"/>
      <c r="V23" s="1"/>
      <c r="W23" s="1"/>
      <c r="X23" s="92"/>
      <c r="Y23" s="2"/>
      <c r="Z23" s="2"/>
      <c r="AA23" s="2"/>
      <c r="AB23" s="90"/>
      <c r="AC23" s="91"/>
      <c r="AD23" s="92"/>
      <c r="AE23" s="2"/>
      <c r="AF23" s="2"/>
      <c r="AG23" s="2"/>
      <c r="AH23" s="90"/>
      <c r="AI23" s="91"/>
      <c r="AJ23" s="92"/>
    </row>
    <row r="24" spans="1:36" ht="18.75" customHeight="1">
      <c r="A24" s="93" t="s">
        <v>339</v>
      </c>
      <c r="B24" s="84"/>
      <c r="C24" s="84"/>
      <c r="D24" s="556"/>
      <c r="E24" s="556"/>
      <c r="F24" s="556"/>
      <c r="G24" s="94"/>
      <c r="H24" s="86"/>
      <c r="I24" s="86"/>
      <c r="J24" s="86"/>
      <c r="K24" s="86"/>
      <c r="L24" s="86"/>
      <c r="M24" s="558">
        <v>0.200831024930748</v>
      </c>
      <c r="N24" s="558">
        <v>0.18108419838523701</v>
      </c>
      <c r="O24" s="558">
        <v>0.1396484375</v>
      </c>
      <c r="P24" s="558">
        <v>9.8543273350471194E-2</v>
      </c>
      <c r="Q24" s="558">
        <v>0.15990639625584999</v>
      </c>
      <c r="R24" s="75"/>
      <c r="S24" s="89"/>
      <c r="T24" s="1"/>
      <c r="U24" s="1"/>
      <c r="V24" s="1"/>
      <c r="W24" s="1"/>
      <c r="X24" s="92"/>
      <c r="Y24" s="2"/>
      <c r="Z24" s="2"/>
      <c r="AA24" s="2"/>
      <c r="AB24" s="90"/>
      <c r="AC24" s="91"/>
      <c r="AD24" s="92"/>
      <c r="AE24" s="2"/>
      <c r="AF24" s="2"/>
      <c r="AG24" s="2"/>
      <c r="AH24" s="90"/>
      <c r="AI24" s="91"/>
      <c r="AJ24" s="92"/>
    </row>
    <row r="25" spans="1:36" ht="18.75" customHeight="1">
      <c r="A25" s="93" t="s">
        <v>340</v>
      </c>
      <c r="B25" s="84"/>
      <c r="C25" s="84"/>
      <c r="D25" s="556"/>
      <c r="E25" s="556"/>
      <c r="F25" s="556"/>
      <c r="G25" s="86">
        <v>0.09</v>
      </c>
      <c r="H25" s="86">
        <v>0.1</v>
      </c>
      <c r="I25" s="86">
        <v>0.11</v>
      </c>
      <c r="J25" s="86">
        <v>0.11700000000000001</v>
      </c>
      <c r="K25" s="86">
        <v>0.125</v>
      </c>
      <c r="L25" s="86">
        <v>0.13500000000000001</v>
      </c>
      <c r="M25" s="100" t="e">
        <f>#REF!</f>
        <v>#REF!</v>
      </c>
      <c r="N25" s="100" t="e">
        <f>#REF!</f>
        <v>#REF!</v>
      </c>
      <c r="O25" s="100" t="e">
        <f>#REF!</f>
        <v>#REF!</v>
      </c>
      <c r="P25" s="100" t="e">
        <f>#REF!</f>
        <v>#REF!</v>
      </c>
      <c r="Q25" s="100" t="e">
        <f>#REF!</f>
        <v>#REF!</v>
      </c>
      <c r="R25" s="75"/>
      <c r="S25" s="89"/>
      <c r="T25" s="1"/>
      <c r="U25" s="1"/>
      <c r="V25" s="1"/>
      <c r="W25" s="1"/>
      <c r="X25" s="92"/>
      <c r="Y25" s="2"/>
      <c r="Z25" s="2"/>
      <c r="AA25" s="2"/>
      <c r="AB25" s="90"/>
      <c r="AC25" s="91"/>
      <c r="AD25" s="92"/>
      <c r="AE25" s="2"/>
      <c r="AF25" s="2"/>
      <c r="AG25" s="2"/>
      <c r="AH25" s="90"/>
      <c r="AI25" s="91"/>
      <c r="AJ25" s="92"/>
    </row>
    <row r="26" spans="1:36" ht="18.75" customHeight="1">
      <c r="A26" s="93"/>
      <c r="B26" s="84"/>
      <c r="C26" s="84"/>
      <c r="D26" s="556"/>
      <c r="E26" s="556"/>
      <c r="F26" s="556"/>
      <c r="G26" s="94"/>
      <c r="H26" s="86"/>
      <c r="I26" s="86"/>
      <c r="J26" s="86"/>
      <c r="K26" s="86"/>
      <c r="L26" s="86"/>
      <c r="M26" s="111"/>
      <c r="N26" s="88"/>
      <c r="O26" s="88"/>
      <c r="P26" s="88"/>
      <c r="Q26" s="88"/>
      <c r="R26" s="75"/>
      <c r="S26" s="89"/>
      <c r="T26" s="1"/>
      <c r="U26" s="1"/>
      <c r="V26" s="1"/>
      <c r="W26" s="1"/>
      <c r="X26" s="92"/>
      <c r="Y26" s="2"/>
      <c r="Z26" s="2"/>
      <c r="AA26" s="2"/>
      <c r="AB26" s="90"/>
      <c r="AC26" s="91"/>
      <c r="AD26" s="92"/>
      <c r="AE26" s="2"/>
      <c r="AF26" s="2"/>
      <c r="AG26" s="2"/>
      <c r="AH26" s="90"/>
      <c r="AI26" s="91"/>
      <c r="AJ26" s="92"/>
    </row>
    <row r="27" spans="1:36" ht="18.75" customHeight="1">
      <c r="A27" s="93" t="s">
        <v>230</v>
      </c>
      <c r="B27" s="84"/>
      <c r="C27" s="84"/>
      <c r="D27" s="256">
        <v>477</v>
      </c>
      <c r="E27" s="256">
        <v>595</v>
      </c>
      <c r="F27" s="256">
        <v>659</v>
      </c>
      <c r="G27" s="94">
        <v>657</v>
      </c>
      <c r="H27" s="94">
        <v>753</v>
      </c>
      <c r="I27" s="94">
        <v>1068</v>
      </c>
      <c r="J27" s="94">
        <v>1527</v>
      </c>
      <c r="K27" s="94">
        <v>1648</v>
      </c>
      <c r="L27" s="94">
        <v>1537</v>
      </c>
      <c r="M27" s="104">
        <f>(1+M28)*L27</f>
        <v>1846.2771894948569</v>
      </c>
      <c r="N27" s="104">
        <f>(1+N28)*M27</f>
        <v>2236.2503193569055</v>
      </c>
      <c r="O27" s="104">
        <f>(1+O28)*N27</f>
        <v>2730.9565969071405</v>
      </c>
      <c r="P27" s="104">
        <f>(1+P28)*O27</f>
        <v>3362.4120228064685</v>
      </c>
      <c r="Q27" s="104">
        <f>(1+Q28)*P27</f>
        <v>4173.4975345172315</v>
      </c>
      <c r="R27" s="118"/>
      <c r="S27" s="1"/>
      <c r="T27" s="1"/>
      <c r="U27" s="1"/>
      <c r="V27" s="1"/>
      <c r="W27" s="1"/>
      <c r="X27" s="92"/>
      <c r="Y27" s="2"/>
      <c r="Z27" s="95"/>
      <c r="AA27" s="95"/>
      <c r="AB27" s="95"/>
      <c r="AC27" s="95"/>
      <c r="AD27" s="95"/>
      <c r="AE27" s="95"/>
      <c r="AF27" s="2"/>
      <c r="AG27" s="2"/>
      <c r="AH27" s="90"/>
      <c r="AI27" s="91"/>
      <c r="AJ27" s="92"/>
    </row>
    <row r="28" spans="1:36" ht="18.75" customHeight="1">
      <c r="A28" s="93"/>
      <c r="B28" s="99" t="s">
        <v>224</v>
      </c>
      <c r="C28" s="84"/>
      <c r="D28" s="556"/>
      <c r="E28" s="556"/>
      <c r="F28" s="556"/>
      <c r="G28" s="94"/>
      <c r="H28" s="86">
        <f>H27/G27-1</f>
        <v>0.14611872146118721</v>
      </c>
      <c r="I28" s="86">
        <f>I27/H27-1</f>
        <v>0.41832669322709171</v>
      </c>
      <c r="J28" s="86">
        <f>J27/I27-1</f>
        <v>0.4297752808988764</v>
      </c>
      <c r="K28" s="86">
        <f>K27/J27-1</f>
        <v>7.9240340537000575E-2</v>
      </c>
      <c r="L28" s="86">
        <f>L27/K27-1</f>
        <v>-6.7354368932038833E-2</v>
      </c>
      <c r="M28" s="100">
        <f>AVERAGE(H28:L28)</f>
        <v>0.20122133343842341</v>
      </c>
      <c r="N28" s="100">
        <f>M28+1%</f>
        <v>0.21122133343842342</v>
      </c>
      <c r="O28" s="100">
        <f>N28+1%</f>
        <v>0.22122133343842343</v>
      </c>
      <c r="P28" s="100">
        <f>O28+1%</f>
        <v>0.23122133343842344</v>
      </c>
      <c r="Q28" s="100">
        <f>P28+1%</f>
        <v>0.24122133343842345</v>
      </c>
      <c r="S28" s="1"/>
      <c r="T28" s="1"/>
      <c r="U28" s="1"/>
      <c r="V28" s="1"/>
      <c r="W28" s="1"/>
      <c r="X28" s="92"/>
      <c r="Y28" s="2"/>
      <c r="Z28" s="2"/>
      <c r="AA28" s="2"/>
      <c r="AB28" s="90"/>
      <c r="AC28" s="91"/>
      <c r="AD28" s="92"/>
      <c r="AE28" s="2"/>
      <c r="AF28" s="2"/>
      <c r="AG28" s="2"/>
      <c r="AH28" s="90"/>
      <c r="AI28" s="91"/>
      <c r="AJ28" s="92"/>
    </row>
    <row r="29" spans="1:36" ht="18.75" customHeight="1">
      <c r="A29" s="93"/>
      <c r="B29" s="84"/>
      <c r="C29" s="84"/>
      <c r="D29" s="556"/>
      <c r="E29" s="556"/>
      <c r="F29" s="556"/>
      <c r="G29" s="94"/>
      <c r="H29" s="86"/>
      <c r="I29" s="86"/>
      <c r="J29" s="86"/>
      <c r="K29" s="86"/>
      <c r="L29" s="86"/>
      <c r="M29" s="88"/>
      <c r="N29" s="88"/>
      <c r="O29" s="88"/>
      <c r="P29" s="88"/>
      <c r="Q29" s="88"/>
      <c r="S29" s="75"/>
      <c r="T29" s="1"/>
      <c r="U29" s="1"/>
      <c r="V29" s="1"/>
      <c r="W29" s="1"/>
      <c r="X29" s="92"/>
      <c r="Y29" s="2"/>
      <c r="Z29" s="2"/>
      <c r="AA29" s="2"/>
      <c r="AB29" s="90"/>
      <c r="AC29" s="91"/>
      <c r="AD29" s="92"/>
      <c r="AE29" s="2"/>
      <c r="AF29" s="2"/>
      <c r="AG29" s="2"/>
      <c r="AH29" s="90"/>
      <c r="AI29" s="91"/>
      <c r="AJ29" s="92"/>
    </row>
    <row r="30" spans="1:36" ht="18.75" customHeight="1">
      <c r="A30" s="93" t="s">
        <v>231</v>
      </c>
      <c r="B30" s="84"/>
      <c r="C30" s="84"/>
      <c r="D30" s="556">
        <v>-169</v>
      </c>
      <c r="E30" s="256">
        <v>-138</v>
      </c>
      <c r="F30" s="256">
        <v>455</v>
      </c>
      <c r="G30" s="94">
        <v>176</v>
      </c>
      <c r="H30" s="94">
        <v>149</v>
      </c>
      <c r="I30" s="94">
        <v>1960</v>
      </c>
      <c r="J30" s="94">
        <v>236</v>
      </c>
      <c r="K30" s="94">
        <v>211</v>
      </c>
      <c r="L30" s="94">
        <v>-127</v>
      </c>
      <c r="M30" s="104" t="e">
        <f>SUM(M27,M22,M20)*M31</f>
        <v>#REF!</v>
      </c>
      <c r="N30" s="104" t="e">
        <f>SUM(N27,N22,N20)*N31</f>
        <v>#REF!</v>
      </c>
      <c r="O30" s="104" t="e">
        <f>SUM(O27,O22,O20)*O31</f>
        <v>#REF!</v>
      </c>
      <c r="P30" s="104" t="e">
        <f>SUM(P27,P22,P20)*P31</f>
        <v>#REF!</v>
      </c>
      <c r="Q30" s="104" t="e">
        <f>SUM(Q27,Q22,Q20)*Q31</f>
        <v>#REF!</v>
      </c>
      <c r="S30" s="75"/>
      <c r="T30" s="112"/>
      <c r="U30" s="112"/>
      <c r="V30" s="112"/>
      <c r="W30" s="112"/>
      <c r="X30" s="92"/>
      <c r="Y30" s="2"/>
      <c r="Z30" s="2"/>
      <c r="AA30" s="2"/>
      <c r="AB30" s="90"/>
      <c r="AC30" s="91"/>
      <c r="AD30" s="92"/>
      <c r="AE30" s="2"/>
      <c r="AF30" s="2"/>
      <c r="AG30" s="2"/>
      <c r="AH30" s="90"/>
      <c r="AI30" s="91"/>
      <c r="AJ30" s="92"/>
    </row>
    <row r="31" spans="1:36" ht="18.75" customHeight="1">
      <c r="A31" s="93"/>
      <c r="B31" s="99" t="s">
        <v>211</v>
      </c>
      <c r="C31" s="84"/>
      <c r="D31" s="556"/>
      <c r="E31" s="556"/>
      <c r="F31" s="556"/>
      <c r="G31" s="117">
        <f t="shared" ref="G31:L31" si="3">G30/G6</f>
        <v>9.6424090682474377E-4</v>
      </c>
      <c r="H31" s="117">
        <f t="shared" si="3"/>
        <v>5.783330810403785E-4</v>
      </c>
      <c r="I31" s="117">
        <f t="shared" si="3"/>
        <v>6.9298109151593153E-3</v>
      </c>
      <c r="J31" s="117">
        <f t="shared" si="3"/>
        <v>7.6774432812611829E-4</v>
      </c>
      <c r="K31" s="117">
        <f t="shared" si="3"/>
        <v>6.0282614036992379E-4</v>
      </c>
      <c r="L31" s="117">
        <f t="shared" si="3"/>
        <v>-3.1526477276112364E-4</v>
      </c>
      <c r="M31" s="100">
        <f>MEDIAN(G31:L31)</f>
        <v>6.8528523424802104E-4</v>
      </c>
      <c r="N31" s="100">
        <f>MEDIAN(H31:M31)</f>
        <v>6.4405568730897247E-4</v>
      </c>
      <c r="O31" s="100">
        <f>MEDIAN(I31:N31)</f>
        <v>6.6467046077849676E-4</v>
      </c>
      <c r="P31" s="100">
        <f>MEDIAN(J31:O31)</f>
        <v>6.5436307404373461E-4</v>
      </c>
      <c r="Q31" s="100">
        <f>MEDIAN(K31:P31)</f>
        <v>6.4920938067635349E-4</v>
      </c>
      <c r="S31" s="75"/>
      <c r="T31" s="1"/>
      <c r="U31" s="1"/>
      <c r="V31" s="1"/>
      <c r="W31" s="1"/>
      <c r="X31" s="92"/>
      <c r="Y31" s="2"/>
      <c r="Z31" s="2"/>
      <c r="AA31" s="2"/>
      <c r="AB31" s="90"/>
      <c r="AC31" s="91"/>
      <c r="AD31" s="92"/>
      <c r="AE31" s="2"/>
      <c r="AF31" s="2"/>
      <c r="AG31" s="2"/>
      <c r="AH31" s="90"/>
      <c r="AI31" s="91"/>
      <c r="AJ31" s="92"/>
    </row>
    <row r="32" spans="1:36" ht="18.75" customHeight="1">
      <c r="A32" s="93"/>
      <c r="B32" s="99"/>
      <c r="C32" s="84"/>
      <c r="D32" s="556"/>
      <c r="E32" s="556"/>
      <c r="F32" s="556"/>
      <c r="G32" s="117"/>
      <c r="H32" s="117"/>
      <c r="I32" s="117"/>
      <c r="J32" s="117"/>
      <c r="K32" s="117"/>
      <c r="L32" s="117"/>
      <c r="M32" s="105"/>
      <c r="N32" s="105"/>
      <c r="O32" s="105"/>
      <c r="P32" s="105"/>
      <c r="Q32" s="105"/>
      <c r="S32" s="75"/>
      <c r="T32" s="1"/>
      <c r="U32" s="1"/>
      <c r="V32" s="1"/>
      <c r="W32" s="1"/>
      <c r="X32" s="92"/>
      <c r="Y32" s="2"/>
      <c r="Z32" s="2"/>
      <c r="AA32" s="2"/>
      <c r="AB32" s="90"/>
      <c r="AC32" s="91"/>
      <c r="AD32" s="92"/>
      <c r="AE32" s="2"/>
      <c r="AF32" s="2"/>
      <c r="AG32" s="2"/>
      <c r="AH32" s="90"/>
      <c r="AI32" s="91"/>
      <c r="AJ32" s="92"/>
    </row>
    <row r="33" spans="1:38" ht="18.75" customHeight="1">
      <c r="A33" s="79" t="s">
        <v>232</v>
      </c>
      <c r="B33" s="80"/>
      <c r="C33" s="80"/>
      <c r="D33" s="555"/>
      <c r="E33" s="555"/>
      <c r="F33" s="555"/>
      <c r="G33" s="119"/>
      <c r="H33" s="119"/>
      <c r="I33" s="119"/>
      <c r="J33" s="121"/>
      <c r="K33" s="121"/>
      <c r="L33" s="121"/>
      <c r="M33" s="123"/>
      <c r="N33" s="123"/>
      <c r="O33" s="123"/>
      <c r="P33" s="123"/>
      <c r="Q33" s="123"/>
      <c r="S33" s="75"/>
      <c r="T33" s="1"/>
      <c r="U33" s="124"/>
      <c r="V33" s="1"/>
      <c r="W33" s="1"/>
      <c r="X33" s="1"/>
      <c r="Y33" s="1"/>
      <c r="Z33" s="1"/>
      <c r="AA33" s="1"/>
      <c r="AB33" s="1"/>
      <c r="AC33" s="1"/>
      <c r="AD33" s="1"/>
      <c r="AE33" s="1"/>
      <c r="AF33" s="1"/>
      <c r="AG33" s="1"/>
      <c r="AH33" s="1"/>
      <c r="AI33" s="1"/>
      <c r="AJ33" s="1"/>
      <c r="AK33" s="1"/>
      <c r="AL33" s="1"/>
    </row>
    <row r="34" spans="1:38" ht="18.75" customHeight="1">
      <c r="A34" s="93" t="s">
        <v>232</v>
      </c>
      <c r="B34" s="84"/>
      <c r="C34" s="84"/>
      <c r="D34" s="556"/>
      <c r="E34" s="556"/>
      <c r="F34" s="556"/>
      <c r="G34" s="125">
        <f t="shared" ref="G34:Q34" si="4">SUM(G37,G40,G43,G47)</f>
        <v>41224</v>
      </c>
      <c r="H34" s="125">
        <f t="shared" si="4"/>
        <v>78714</v>
      </c>
      <c r="I34" s="125">
        <f t="shared" si="4"/>
        <v>74842</v>
      </c>
      <c r="J34" s="125">
        <f t="shared" si="4"/>
        <v>84293</v>
      </c>
      <c r="K34" s="125">
        <f t="shared" si="4"/>
        <v>112390</v>
      </c>
      <c r="L34" s="125">
        <f t="shared" si="4"/>
        <v>129039</v>
      </c>
      <c r="M34" s="127" t="e">
        <f t="shared" si="4"/>
        <v>#REF!</v>
      </c>
      <c r="N34" s="127" t="e">
        <f t="shared" si="4"/>
        <v>#REF!</v>
      </c>
      <c r="O34" s="127" t="e">
        <f t="shared" si="4"/>
        <v>#REF!</v>
      </c>
      <c r="P34" s="127" t="e">
        <f t="shared" si="4"/>
        <v>#REF!</v>
      </c>
      <c r="Q34" s="127" t="e">
        <f t="shared" si="4"/>
        <v>#REF!</v>
      </c>
      <c r="S34" s="1"/>
      <c r="T34" s="1"/>
      <c r="U34" s="1"/>
      <c r="V34" s="1"/>
      <c r="W34" s="1"/>
      <c r="X34" s="1"/>
      <c r="Y34" s="1"/>
      <c r="Z34" s="1"/>
      <c r="AA34" s="1"/>
      <c r="AB34" s="1"/>
      <c r="AC34" s="1"/>
      <c r="AD34" s="1"/>
      <c r="AE34" s="1"/>
      <c r="AF34" s="1"/>
      <c r="AG34" s="1"/>
      <c r="AH34" s="1"/>
      <c r="AI34" s="1"/>
      <c r="AJ34" s="1"/>
      <c r="AK34" s="1"/>
      <c r="AL34" s="1"/>
    </row>
    <row r="35" spans="1:38" ht="18.75" customHeight="1">
      <c r="A35" s="93"/>
      <c r="B35" s="129" t="s">
        <v>233</v>
      </c>
      <c r="C35" s="84"/>
      <c r="D35" s="556"/>
      <c r="E35" s="556"/>
      <c r="F35" s="556"/>
      <c r="G35" s="86">
        <f t="shared" ref="G35:Q35" si="5">G34/G6</f>
        <v>0.22585151785763202</v>
      </c>
      <c r="H35" s="86">
        <f t="shared" si="5"/>
        <v>0.3055228868524319</v>
      </c>
      <c r="I35" s="86">
        <f t="shared" si="5"/>
        <v>0.26461270842467011</v>
      </c>
      <c r="J35" s="86">
        <f t="shared" si="5"/>
        <v>0.27421810445226646</v>
      </c>
      <c r="K35" s="86">
        <f t="shared" si="5"/>
        <v>0.32109777211457696</v>
      </c>
      <c r="L35" s="86">
        <f t="shared" si="5"/>
        <v>0.32032638592380025</v>
      </c>
      <c r="M35" s="130" t="e">
        <f t="shared" si="5"/>
        <v>#REF!</v>
      </c>
      <c r="N35" s="130" t="e">
        <f t="shared" si="5"/>
        <v>#REF!</v>
      </c>
      <c r="O35" s="130" t="e">
        <f t="shared" si="5"/>
        <v>#REF!</v>
      </c>
      <c r="P35" s="130" t="e">
        <f t="shared" si="5"/>
        <v>#REF!</v>
      </c>
      <c r="Q35" s="130" t="e">
        <f t="shared" si="5"/>
        <v>#REF!</v>
      </c>
      <c r="R35" s="118"/>
      <c r="S35" s="1"/>
      <c r="T35" s="1"/>
      <c r="U35" s="1"/>
      <c r="V35" s="1"/>
      <c r="W35" s="1"/>
      <c r="X35" s="1"/>
      <c r="Y35" s="1"/>
      <c r="Z35" s="1"/>
      <c r="AA35" s="1"/>
      <c r="AB35" s="1"/>
      <c r="AC35" s="1"/>
      <c r="AD35" s="1"/>
      <c r="AE35" s="1"/>
      <c r="AF35" s="1"/>
      <c r="AG35" s="1"/>
      <c r="AH35" s="1"/>
      <c r="AI35" s="1"/>
      <c r="AJ35" s="1"/>
      <c r="AK35" s="1"/>
      <c r="AL35" s="1"/>
    </row>
    <row r="36" spans="1:38" ht="18.75" customHeight="1">
      <c r="A36" s="93"/>
      <c r="B36" s="129"/>
      <c r="C36" s="84"/>
      <c r="D36" s="556"/>
      <c r="E36" s="556"/>
      <c r="F36" s="556"/>
      <c r="G36" s="85"/>
      <c r="H36" s="85"/>
      <c r="I36" s="85"/>
      <c r="J36" s="85"/>
      <c r="K36" s="85"/>
      <c r="L36" s="85"/>
      <c r="M36" s="88"/>
      <c r="N36" s="88"/>
      <c r="O36" s="88"/>
      <c r="P36" s="88"/>
      <c r="Q36" s="88"/>
      <c r="S36" s="1"/>
      <c r="T36" s="1"/>
      <c r="U36" s="1"/>
      <c r="V36" s="1"/>
      <c r="W36" s="1"/>
      <c r="X36" s="1"/>
      <c r="Y36" s="1"/>
      <c r="Z36" s="1"/>
      <c r="AA36" s="1"/>
      <c r="AB36" s="1"/>
      <c r="AC36" s="1"/>
      <c r="AD36" s="1"/>
      <c r="AE36" s="1"/>
      <c r="AF36" s="1"/>
      <c r="AG36" s="1"/>
      <c r="AH36" s="1"/>
      <c r="AI36" s="1"/>
      <c r="AJ36" s="1"/>
      <c r="AK36" s="1"/>
      <c r="AL36" s="1"/>
    </row>
    <row r="37" spans="1:38" s="1" customFormat="1" ht="18.75" customHeight="1">
      <c r="A37" s="83"/>
      <c r="B37" s="133" t="s">
        <v>228</v>
      </c>
      <c r="C37" s="84"/>
      <c r="D37" s="556"/>
      <c r="E37" s="556"/>
      <c r="F37" s="556"/>
      <c r="G37" s="134">
        <v>54606</v>
      </c>
      <c r="H37" s="134">
        <v>91855</v>
      </c>
      <c r="I37" s="94">
        <v>82699</v>
      </c>
      <c r="J37" s="94">
        <v>95858</v>
      </c>
      <c r="K37" s="94">
        <v>121263</v>
      </c>
      <c r="L37" s="94">
        <v>139404</v>
      </c>
      <c r="M37" s="127" t="e">
        <f>M38*M20</f>
        <v>#REF!</v>
      </c>
      <c r="N37" s="127" t="e">
        <f>N38*N20</f>
        <v>#REF!</v>
      </c>
      <c r="O37" s="127" t="e">
        <f>O38*O20</f>
        <v>#REF!</v>
      </c>
      <c r="P37" s="127" t="e">
        <f>P38*P20</f>
        <v>#REF!</v>
      </c>
      <c r="Q37" s="127" t="e">
        <f>Q38*Q20</f>
        <v>#REF!</v>
      </c>
    </row>
    <row r="38" spans="1:38" s="1" customFormat="1" ht="18.75" customHeight="1">
      <c r="A38" s="83"/>
      <c r="B38" s="133"/>
      <c r="C38" s="136" t="s">
        <v>233</v>
      </c>
      <c r="D38" s="559"/>
      <c r="E38" s="559"/>
      <c r="F38" s="559"/>
      <c r="G38" s="86">
        <f t="shared" ref="G38:L38" si="6">G37/G20</f>
        <v>0.32381178284460521</v>
      </c>
      <c r="H38" s="86">
        <f t="shared" si="6"/>
        <v>0.38671067532806519</v>
      </c>
      <c r="I38" s="86">
        <f t="shared" si="6"/>
        <v>0.32619276766274335</v>
      </c>
      <c r="J38" s="86">
        <f t="shared" si="6"/>
        <v>0.35171697677063801</v>
      </c>
      <c r="K38" s="86">
        <f t="shared" si="6"/>
        <v>0.39767487620109532</v>
      </c>
      <c r="L38" s="86">
        <f t="shared" si="6"/>
        <v>0.40675651623332099</v>
      </c>
      <c r="M38" s="100" t="e">
        <f>#REF!</f>
        <v>#REF!</v>
      </c>
      <c r="N38" s="100" t="e">
        <f>#REF!</f>
        <v>#REF!</v>
      </c>
      <c r="O38" s="100" t="e">
        <f>#REF!</f>
        <v>#REF!</v>
      </c>
      <c r="P38" s="100" t="e">
        <f>#REF!</f>
        <v>#REF!</v>
      </c>
      <c r="Q38" s="100" t="e">
        <f>#REF!</f>
        <v>#REF!</v>
      </c>
    </row>
    <row r="39" spans="1:38" s="1" customFormat="1" ht="18.75" customHeight="1">
      <c r="A39" s="83"/>
      <c r="B39" s="133"/>
      <c r="C39" s="136"/>
      <c r="D39" s="559"/>
      <c r="E39" s="559"/>
      <c r="F39" s="559"/>
      <c r="G39" s="86"/>
      <c r="H39" s="86"/>
      <c r="I39" s="86"/>
      <c r="J39" s="86"/>
      <c r="K39" s="86"/>
      <c r="L39" s="86"/>
      <c r="M39" s="105"/>
      <c r="N39" s="105"/>
      <c r="O39" s="105"/>
      <c r="P39" s="105"/>
      <c r="Q39" s="105"/>
    </row>
    <row r="40" spans="1:38" s="1" customFormat="1" ht="18.75" customHeight="1">
      <c r="A40" s="83"/>
      <c r="B40" s="133" t="s">
        <v>234</v>
      </c>
      <c r="C40" s="84"/>
      <c r="D40" s="556"/>
      <c r="E40" s="556"/>
      <c r="F40" s="556"/>
      <c r="G40" s="94">
        <v>-5607</v>
      </c>
      <c r="H40" s="94">
        <v>-3099</v>
      </c>
      <c r="I40" s="94">
        <v>-1922</v>
      </c>
      <c r="J40" s="94">
        <v>1716</v>
      </c>
      <c r="K40" s="94">
        <v>6112</v>
      </c>
      <c r="L40" s="94">
        <v>13910</v>
      </c>
      <c r="M40" s="127" t="e">
        <f>M41*M22</f>
        <v>#REF!</v>
      </c>
      <c r="N40" s="127" t="e">
        <f>N41*N22</f>
        <v>#REF!</v>
      </c>
      <c r="O40" s="127" t="e">
        <f>O41*O22</f>
        <v>#REF!</v>
      </c>
      <c r="P40" s="127" t="e">
        <f>P41*P22</f>
        <v>#REF!</v>
      </c>
      <c r="Q40" s="127" t="e">
        <f>Q41*Q22</f>
        <v>#REF!</v>
      </c>
    </row>
    <row r="41" spans="1:38" s="1" customFormat="1" ht="18.75" customHeight="1">
      <c r="A41" s="83"/>
      <c r="B41" s="133"/>
      <c r="C41" s="136" t="s">
        <v>233</v>
      </c>
      <c r="D41" s="559"/>
      <c r="E41" s="559"/>
      <c r="F41" s="559"/>
      <c r="G41" s="86">
        <f t="shared" ref="G41:L41" si="7">G40/G22</f>
        <v>-0.42935906271536872</v>
      </c>
      <c r="H41" s="86">
        <f t="shared" si="7"/>
        <v>-0.16135582630427991</v>
      </c>
      <c r="I41" s="86">
        <f t="shared" si="7"/>
        <v>-7.3135464231354641E-2</v>
      </c>
      <c r="J41" s="86">
        <f t="shared" si="7"/>
        <v>5.1861702127659573E-2</v>
      </c>
      <c r="K41" s="86">
        <f t="shared" si="7"/>
        <v>0.14138656920123066</v>
      </c>
      <c r="L41" s="86">
        <f t="shared" si="7"/>
        <v>0.23694744910995658</v>
      </c>
      <c r="M41" s="100" t="e">
        <f>#REF!</f>
        <v>#REF!</v>
      </c>
      <c r="N41" s="100" t="e">
        <f>#REF!</f>
        <v>#REF!</v>
      </c>
      <c r="O41" s="100" t="e">
        <f>#REF!</f>
        <v>#REF!</v>
      </c>
      <c r="P41" s="100" t="e">
        <f>#REF!</f>
        <v>#REF!</v>
      </c>
      <c r="Q41" s="100" t="e">
        <f>#REF!</f>
        <v>#REF!</v>
      </c>
    </row>
    <row r="42" spans="1:38" s="1" customFormat="1" ht="18.75" customHeight="1">
      <c r="A42" s="83"/>
      <c r="B42" s="133"/>
      <c r="C42" s="136"/>
      <c r="D42" s="559"/>
      <c r="E42" s="559"/>
      <c r="F42" s="559"/>
      <c r="G42" s="86"/>
      <c r="H42" s="86"/>
      <c r="I42" s="86"/>
      <c r="J42" s="86"/>
      <c r="K42" s="86"/>
      <c r="L42" s="86"/>
      <c r="M42" s="105"/>
      <c r="N42" s="105"/>
      <c r="O42" s="105"/>
      <c r="P42" s="105"/>
      <c r="Q42" s="105"/>
    </row>
    <row r="43" spans="1:38" ht="18.75" customHeight="1">
      <c r="A43" s="93"/>
      <c r="B43" s="133" t="s">
        <v>230</v>
      </c>
      <c r="C43" s="84"/>
      <c r="D43" s="556"/>
      <c r="E43" s="556"/>
      <c r="F43" s="556"/>
      <c r="G43" s="138">
        <v>-4476</v>
      </c>
      <c r="H43" s="138">
        <v>-5281</v>
      </c>
      <c r="I43" s="138">
        <v>-4636</v>
      </c>
      <c r="J43" s="138">
        <v>-4095</v>
      </c>
      <c r="K43" s="138">
        <v>-4444</v>
      </c>
      <c r="L43" s="138">
        <v>-7515</v>
      </c>
      <c r="M43" s="104">
        <f>M27-M44</f>
        <v>-7854.1112843578649</v>
      </c>
      <c r="N43" s="104">
        <f>N27-N44</f>
        <v>-8304.193176678451</v>
      </c>
      <c r="O43" s="104">
        <f>O27-O44</f>
        <v>-8753.9121362582191</v>
      </c>
      <c r="P43" s="104">
        <f>P27-P44</f>
        <v>-9185.9571893251705</v>
      </c>
      <c r="Q43" s="104">
        <f>Q27-Q44</f>
        <v>-9574.4975599034733</v>
      </c>
      <c r="R43" s="1"/>
      <c r="S43" s="1"/>
      <c r="T43" s="1"/>
      <c r="U43" s="1"/>
      <c r="V43" s="1"/>
      <c r="W43" s="1"/>
      <c r="X43" s="1"/>
      <c r="Y43" s="1"/>
      <c r="Z43" s="1"/>
      <c r="AA43" s="1"/>
      <c r="AB43" s="1"/>
      <c r="AC43" s="1"/>
      <c r="AD43" s="1"/>
      <c r="AE43" s="1"/>
      <c r="AF43" s="1"/>
      <c r="AG43" s="1"/>
      <c r="AH43" s="1"/>
      <c r="AI43" s="1"/>
      <c r="AJ43" s="1"/>
      <c r="AK43" s="1"/>
      <c r="AL43" s="1"/>
    </row>
    <row r="44" spans="1:38" ht="18.75" customHeight="1">
      <c r="A44" s="93"/>
      <c r="B44" s="133"/>
      <c r="C44" s="84" t="s">
        <v>235</v>
      </c>
      <c r="D44" s="556"/>
      <c r="E44" s="556"/>
      <c r="F44" s="556"/>
      <c r="G44" s="138">
        <v>5133</v>
      </c>
      <c r="H44" s="138">
        <v>6034</v>
      </c>
      <c r="I44" s="138">
        <v>5704</v>
      </c>
      <c r="J44" s="138">
        <v>5622</v>
      </c>
      <c r="K44" s="138">
        <v>6092</v>
      </c>
      <c r="L44" s="138">
        <v>8952</v>
      </c>
      <c r="M44" s="104">
        <f>(M45+1)*L44</f>
        <v>9700.3884738527213</v>
      </c>
      <c r="N44" s="104">
        <f>(N45+1)*M44</f>
        <v>10540.443496035356</v>
      </c>
      <c r="O44" s="104">
        <f>(O45+1)*N44</f>
        <v>11484.86873316536</v>
      </c>
      <c r="P44" s="104">
        <f>(P45+1)*O44</f>
        <v>12548.36921213164</v>
      </c>
      <c r="Q44" s="104">
        <f>(Q45+1)*P44</f>
        <v>13747.995094420705</v>
      </c>
      <c r="R44" s="1"/>
      <c r="S44" s="139"/>
      <c r="T44" s="139"/>
      <c r="U44" s="139"/>
      <c r="V44" s="139"/>
      <c r="W44" s="139"/>
      <c r="X44" s="139"/>
      <c r="Y44" s="1"/>
      <c r="Z44" s="1"/>
      <c r="AA44" s="1"/>
      <c r="AB44" s="1"/>
      <c r="AC44" s="1"/>
      <c r="AD44" s="1"/>
      <c r="AE44" s="1"/>
      <c r="AF44" s="1"/>
      <c r="AG44" s="1"/>
      <c r="AH44" s="1"/>
      <c r="AI44" s="1"/>
      <c r="AJ44" s="1"/>
      <c r="AK44" s="1"/>
      <c r="AL44" s="1"/>
    </row>
    <row r="45" spans="1:38" ht="18.75" customHeight="1">
      <c r="A45" s="93"/>
      <c r="B45" s="133"/>
      <c r="C45" s="136" t="s">
        <v>62</v>
      </c>
      <c r="D45" s="559"/>
      <c r="E45" s="559"/>
      <c r="F45" s="559"/>
      <c r="G45" s="86"/>
      <c r="H45" s="86">
        <f>H44/G44-1</f>
        <v>0.17553087862848238</v>
      </c>
      <c r="I45" s="86">
        <f>I44/H44-1</f>
        <v>-5.4690089492873684E-2</v>
      </c>
      <c r="J45" s="86">
        <f>J44/I44-1</f>
        <v>-1.4375876577840119E-2</v>
      </c>
      <c r="K45" s="86">
        <f>K44/J44-1</f>
        <v>8.3600142298114521E-2</v>
      </c>
      <c r="L45" s="86">
        <f>L44/K44-1</f>
        <v>0.46946815495732097</v>
      </c>
      <c r="M45" s="100">
        <f>MEDIAN(H45:L45)</f>
        <v>8.3600142298114521E-2</v>
      </c>
      <c r="N45" s="100">
        <f>M45+0.3%</f>
        <v>8.6600142298114524E-2</v>
      </c>
      <c r="O45" s="100">
        <f>N45+0.3%</f>
        <v>8.9600142298114527E-2</v>
      </c>
      <c r="P45" s="100">
        <f>O45+0.3%</f>
        <v>9.2600142298114529E-2</v>
      </c>
      <c r="Q45" s="100">
        <f>P45+0.3%</f>
        <v>9.5600142298114532E-2</v>
      </c>
      <c r="R45" s="1"/>
      <c r="S45" s="1"/>
      <c r="T45" s="1"/>
      <c r="U45" s="1"/>
      <c r="V45" s="1"/>
      <c r="W45" s="1"/>
      <c r="X45" s="1"/>
      <c r="Y45" s="1"/>
      <c r="Z45" s="1"/>
      <c r="AA45" s="1"/>
      <c r="AB45" s="1"/>
      <c r="AC45" s="1"/>
      <c r="AD45" s="1"/>
      <c r="AE45" s="1"/>
      <c r="AF45" s="1"/>
      <c r="AG45" s="1"/>
      <c r="AH45" s="1"/>
      <c r="AI45" s="1"/>
      <c r="AJ45" s="1"/>
      <c r="AK45" s="1"/>
      <c r="AL45" s="1"/>
    </row>
    <row r="46" spans="1:38" ht="18.75" customHeight="1">
      <c r="A46" s="93"/>
      <c r="B46" s="133"/>
      <c r="C46" s="136"/>
      <c r="D46" s="559"/>
      <c r="E46" s="559"/>
      <c r="F46" s="559"/>
      <c r="G46" s="86"/>
      <c r="H46" s="86"/>
      <c r="I46" s="86"/>
      <c r="J46" s="86"/>
      <c r="K46" s="86"/>
      <c r="L46" s="86"/>
      <c r="M46" s="105"/>
      <c r="N46" s="105"/>
      <c r="O46" s="105"/>
      <c r="P46" s="105"/>
      <c r="Q46" s="105"/>
      <c r="R46" s="1"/>
      <c r="S46" s="1"/>
      <c r="T46" s="1"/>
      <c r="U46" s="1"/>
      <c r="V46" s="1"/>
      <c r="W46" s="1"/>
      <c r="X46" s="1"/>
      <c r="Y46" s="1"/>
      <c r="Z46" s="1"/>
      <c r="AA46" s="1"/>
      <c r="AB46" s="1"/>
      <c r="AC46" s="1"/>
      <c r="AD46" s="1"/>
      <c r="AE46" s="1"/>
      <c r="AF46" s="1"/>
      <c r="AG46" s="1"/>
      <c r="AH46" s="1"/>
      <c r="AI46" s="1"/>
      <c r="AJ46" s="1"/>
      <c r="AK46" s="1"/>
      <c r="AL46" s="1"/>
    </row>
    <row r="47" spans="1:38" ht="25.5" customHeight="1">
      <c r="A47" s="93"/>
      <c r="B47" s="133" t="s">
        <v>236</v>
      </c>
      <c r="C47" s="84"/>
      <c r="D47" s="556"/>
      <c r="E47" s="556"/>
      <c r="F47" s="556"/>
      <c r="G47" s="94">
        <v>-3299</v>
      </c>
      <c r="H47" s="94">
        <v>-4761</v>
      </c>
      <c r="I47" s="94">
        <v>-1299</v>
      </c>
      <c r="J47" s="94">
        <v>-9186</v>
      </c>
      <c r="K47" s="94">
        <v>-10541</v>
      </c>
      <c r="L47" s="94">
        <v>-16760</v>
      </c>
      <c r="M47" s="104" t="e">
        <f>-M48*M6</f>
        <v>#REF!</v>
      </c>
      <c r="N47" s="104" t="e">
        <f>-N48*N6</f>
        <v>#REF!</v>
      </c>
      <c r="O47" s="104" t="e">
        <f>-O48*O6</f>
        <v>#REF!</v>
      </c>
      <c r="P47" s="104" t="e">
        <f>-P48*P6</f>
        <v>#REF!</v>
      </c>
      <c r="Q47" s="104" t="e">
        <f>-Q48*Q6</f>
        <v>#REF!</v>
      </c>
      <c r="S47" s="140"/>
      <c r="T47" s="1"/>
      <c r="U47" s="1"/>
      <c r="V47" s="1"/>
      <c r="W47" s="1"/>
      <c r="X47" s="1"/>
      <c r="Y47" s="1"/>
      <c r="Z47" s="1"/>
      <c r="AA47" s="1"/>
      <c r="AB47" s="1"/>
      <c r="AC47" s="1"/>
      <c r="AD47" s="1"/>
      <c r="AE47" s="1"/>
      <c r="AF47" s="1"/>
      <c r="AG47" s="1"/>
      <c r="AH47" s="1"/>
      <c r="AI47" s="1"/>
      <c r="AJ47" s="1"/>
      <c r="AK47" s="1"/>
      <c r="AL47" s="1"/>
    </row>
    <row r="48" spans="1:38" ht="19.5" customHeight="1">
      <c r="A48" s="93"/>
      <c r="B48" s="99"/>
      <c r="C48" s="136" t="s">
        <v>237</v>
      </c>
      <c r="D48" s="559"/>
      <c r="E48" s="559"/>
      <c r="F48" s="559"/>
      <c r="G48" s="86">
        <f t="shared" ref="G48:L48" si="8">-G47/G6</f>
        <v>1.8074038361447897E-2</v>
      </c>
      <c r="H48" s="86">
        <f t="shared" si="8"/>
        <v>1.8479488582773436E-2</v>
      </c>
      <c r="I48" s="86">
        <f t="shared" si="8"/>
        <v>4.5927675401999744E-3</v>
      </c>
      <c r="J48" s="86">
        <f t="shared" si="8"/>
        <v>2.9883472026129333E-2</v>
      </c>
      <c r="K48" s="86">
        <f t="shared" si="8"/>
        <v>3.0115594055162877E-2</v>
      </c>
      <c r="L48" s="86">
        <f t="shared" si="8"/>
        <v>4.1605020405326237E-2</v>
      </c>
      <c r="M48" s="100">
        <f>AVERAGE(J48:L48)</f>
        <v>3.3868028828872819E-2</v>
      </c>
      <c r="N48" s="100">
        <f>M48</f>
        <v>3.3868028828872819E-2</v>
      </c>
      <c r="O48" s="100">
        <f>N48</f>
        <v>3.3868028828872819E-2</v>
      </c>
      <c r="P48" s="100">
        <f>O48</f>
        <v>3.3868028828872819E-2</v>
      </c>
      <c r="Q48" s="100">
        <f>P48</f>
        <v>3.3868028828872819E-2</v>
      </c>
      <c r="S48" s="140"/>
      <c r="T48" s="1"/>
      <c r="U48" s="1"/>
      <c r="V48" s="1"/>
      <c r="W48" s="1"/>
      <c r="X48" s="1"/>
      <c r="Y48" s="1"/>
      <c r="Z48" s="1"/>
      <c r="AA48" s="1"/>
      <c r="AB48" s="1"/>
      <c r="AC48" s="1"/>
      <c r="AD48" s="1"/>
      <c r="AE48" s="1"/>
      <c r="AF48" s="1"/>
      <c r="AG48" s="1"/>
      <c r="AH48" s="1"/>
      <c r="AI48" s="1"/>
      <c r="AJ48" s="1"/>
      <c r="AK48" s="1"/>
      <c r="AL48" s="1"/>
    </row>
    <row r="49" spans="1:38" ht="19.5" customHeight="1">
      <c r="A49" s="93"/>
      <c r="B49" s="99"/>
      <c r="C49" s="136"/>
      <c r="D49" s="559"/>
      <c r="E49" s="559"/>
      <c r="F49" s="559"/>
      <c r="G49" s="86"/>
      <c r="H49" s="86"/>
      <c r="I49" s="86"/>
      <c r="J49" s="86"/>
      <c r="K49" s="86"/>
      <c r="L49" s="86"/>
      <c r="M49" s="105"/>
      <c r="N49" s="105"/>
      <c r="O49" s="105"/>
      <c r="P49" s="105"/>
      <c r="Q49" s="105"/>
      <c r="S49" s="140"/>
      <c r="T49" s="1"/>
      <c r="U49" s="1"/>
      <c r="V49" s="1"/>
      <c r="W49" s="1"/>
      <c r="X49" s="1"/>
      <c r="Y49" s="1"/>
      <c r="Z49" s="1"/>
      <c r="AA49" s="1"/>
      <c r="AB49" s="1"/>
      <c r="AC49" s="1"/>
      <c r="AD49" s="1"/>
      <c r="AE49" s="1"/>
      <c r="AF49" s="1"/>
      <c r="AG49" s="1"/>
      <c r="AH49" s="1"/>
      <c r="AI49" s="1"/>
      <c r="AJ49" s="1"/>
      <c r="AK49" s="1"/>
      <c r="AL49" s="1"/>
    </row>
    <row r="50" spans="1:38" ht="18.75" customHeight="1">
      <c r="A50" s="79" t="s">
        <v>238</v>
      </c>
      <c r="B50" s="80"/>
      <c r="C50" s="80"/>
      <c r="D50" s="555"/>
      <c r="E50" s="555"/>
      <c r="F50" s="555"/>
      <c r="G50" s="81">
        <f t="shared" ref="G50:Q50" si="9">G6-G34</f>
        <v>141303</v>
      </c>
      <c r="H50" s="81">
        <f t="shared" si="9"/>
        <v>178923</v>
      </c>
      <c r="I50" s="81">
        <f t="shared" si="9"/>
        <v>207994</v>
      </c>
      <c r="J50" s="81">
        <f t="shared" si="9"/>
        <v>223101</v>
      </c>
      <c r="K50" s="81">
        <f t="shared" si="9"/>
        <v>237628</v>
      </c>
      <c r="L50" s="81">
        <f t="shared" si="9"/>
        <v>273797</v>
      </c>
      <c r="M50" s="141" t="e">
        <f t="shared" si="9"/>
        <v>#REF!</v>
      </c>
      <c r="N50" s="141" t="e">
        <f t="shared" si="9"/>
        <v>#REF!</v>
      </c>
      <c r="O50" s="141" t="e">
        <f t="shared" si="9"/>
        <v>#REF!</v>
      </c>
      <c r="P50" s="141" t="e">
        <f t="shared" si="9"/>
        <v>#REF!</v>
      </c>
      <c r="Q50" s="141" t="e">
        <f t="shared" si="9"/>
        <v>#REF!</v>
      </c>
      <c r="S50" s="1"/>
      <c r="T50" s="1"/>
      <c r="U50" s="1"/>
      <c r="V50" s="1"/>
      <c r="W50" s="1"/>
      <c r="X50" s="1"/>
      <c r="Y50" s="1"/>
      <c r="Z50" s="1"/>
      <c r="AA50" s="1"/>
      <c r="AB50" s="1"/>
      <c r="AC50" s="1"/>
      <c r="AD50" s="1"/>
      <c r="AE50" s="1"/>
      <c r="AF50" s="1"/>
      <c r="AG50" s="1"/>
      <c r="AH50" s="1"/>
      <c r="AI50" s="1"/>
      <c r="AJ50" s="1"/>
      <c r="AK50" s="1"/>
      <c r="AL50" s="1"/>
    </row>
    <row r="51" spans="1:38" ht="18.75" customHeight="1">
      <c r="A51" s="83"/>
      <c r="B51" s="84"/>
      <c r="C51" s="84"/>
      <c r="D51" s="556"/>
      <c r="E51" s="556"/>
      <c r="F51" s="556"/>
      <c r="G51" s="142"/>
      <c r="H51" s="142"/>
      <c r="I51" s="142"/>
      <c r="J51" s="142"/>
      <c r="K51" s="142"/>
      <c r="L51" s="142"/>
      <c r="M51" s="144"/>
      <c r="N51" s="144"/>
      <c r="O51" s="144"/>
      <c r="P51" s="144"/>
      <c r="Q51" s="144"/>
      <c r="S51" s="1"/>
      <c r="T51" s="1"/>
      <c r="U51" s="1"/>
      <c r="V51" s="1"/>
      <c r="W51" s="1"/>
      <c r="X51" s="1"/>
      <c r="Y51" s="1"/>
      <c r="Z51" s="1"/>
      <c r="AA51" s="1"/>
      <c r="AB51" s="1"/>
      <c r="AC51" s="1"/>
      <c r="AD51" s="1"/>
      <c r="AE51" s="1"/>
      <c r="AF51" s="1"/>
      <c r="AG51" s="1"/>
      <c r="AH51" s="1"/>
      <c r="AI51" s="1"/>
      <c r="AJ51" s="1"/>
      <c r="AK51" s="1"/>
      <c r="AL51" s="1"/>
    </row>
    <row r="52" spans="1:38" ht="19.5" customHeight="1">
      <c r="A52" s="83"/>
      <c r="B52" s="99" t="s">
        <v>239</v>
      </c>
      <c r="C52" s="84"/>
      <c r="D52" s="556"/>
      <c r="E52" s="556"/>
      <c r="F52" s="556"/>
      <c r="G52" s="146">
        <f>'Income Statement'!D8</f>
        <v>84732</v>
      </c>
      <c r="H52" s="146">
        <f>'Income Statement'!E8</f>
        <v>110939</v>
      </c>
      <c r="I52" s="146">
        <f>'Income Statement'!J8</f>
        <v>126203</v>
      </c>
      <c r="J52" s="146">
        <f>'Income Statement'!O8</f>
        <v>133332</v>
      </c>
      <c r="K52" s="146">
        <f>'Income Statement'!T8</f>
        <v>146306</v>
      </c>
      <c r="L52" s="146">
        <f>'Income Statement'!Y8</f>
        <v>162535</v>
      </c>
      <c r="M52" s="127" t="e">
        <f>M53*M50</f>
        <v>#REF!</v>
      </c>
      <c r="N52" s="127" t="e">
        <f>N53*N50</f>
        <v>#REF!</v>
      </c>
      <c r="O52" s="127" t="e">
        <f>O53*O50</f>
        <v>#REF!</v>
      </c>
      <c r="P52" s="127" t="e">
        <f>P53*P50</f>
        <v>#REF!</v>
      </c>
      <c r="Q52" s="127" t="e">
        <f>Q53*Q50</f>
        <v>#REF!</v>
      </c>
      <c r="S52" s="1"/>
      <c r="T52" s="1"/>
      <c r="U52" s="1"/>
      <c r="V52" s="1"/>
      <c r="W52" s="1"/>
      <c r="X52" s="1"/>
      <c r="Y52" s="1"/>
      <c r="Z52" s="1"/>
      <c r="AA52" s="1"/>
      <c r="AB52" s="1"/>
      <c r="AC52" s="1"/>
      <c r="AD52" s="1"/>
      <c r="AE52" s="1"/>
      <c r="AF52" s="1"/>
      <c r="AG52" s="1"/>
      <c r="AH52" s="1"/>
      <c r="AI52" s="1"/>
      <c r="AJ52" s="1"/>
      <c r="AK52" s="1"/>
      <c r="AL52" s="1"/>
    </row>
    <row r="53" spans="1:38" ht="19.5" customHeight="1">
      <c r="A53" s="93"/>
      <c r="B53" s="129"/>
      <c r="C53" s="129" t="s">
        <v>240</v>
      </c>
      <c r="D53" s="560"/>
      <c r="E53" s="560"/>
      <c r="F53" s="560"/>
      <c r="G53" s="86">
        <f t="shared" ref="G53:L53" si="10">G52/G50</f>
        <v>0.59964756586908985</v>
      </c>
      <c r="H53" s="86">
        <f t="shared" si="10"/>
        <v>0.62003766983562758</v>
      </c>
      <c r="I53" s="86">
        <f t="shared" si="10"/>
        <v>0.60676269507774261</v>
      </c>
      <c r="J53" s="86">
        <f t="shared" si="10"/>
        <v>0.59763066951739352</v>
      </c>
      <c r="K53" s="86">
        <f t="shared" si="10"/>
        <v>0.61569343680037703</v>
      </c>
      <c r="L53" s="86">
        <f t="shared" si="10"/>
        <v>0.59363323922468103</v>
      </c>
      <c r="M53" s="100">
        <f>MEDIAN(G53:L53)</f>
        <v>0.60320513047341628</v>
      </c>
      <c r="N53" s="100">
        <f>M53</f>
        <v>0.60320513047341628</v>
      </c>
      <c r="O53" s="100">
        <f>N53</f>
        <v>0.60320513047341628</v>
      </c>
      <c r="P53" s="100">
        <f>O53</f>
        <v>0.60320513047341628</v>
      </c>
      <c r="Q53" s="100">
        <f>P53</f>
        <v>0.60320513047341628</v>
      </c>
      <c r="S53" s="1"/>
      <c r="T53" s="1"/>
      <c r="U53" s="1"/>
      <c r="V53" s="1"/>
      <c r="W53" s="1"/>
      <c r="X53" s="92"/>
      <c r="Y53" s="2"/>
      <c r="Z53" s="2"/>
      <c r="AA53" s="2"/>
      <c r="AB53" s="148"/>
      <c r="AC53" s="148"/>
      <c r="AD53" s="92"/>
      <c r="AE53" s="2"/>
      <c r="AF53" s="2"/>
      <c r="AG53" s="2"/>
      <c r="AH53" s="148"/>
      <c r="AI53" s="148"/>
      <c r="AJ53" s="92"/>
    </row>
    <row r="54" spans="1:38" ht="19.5" customHeight="1">
      <c r="A54" s="93"/>
      <c r="B54" s="129"/>
      <c r="C54" s="84"/>
      <c r="D54" s="556"/>
      <c r="E54" s="556"/>
      <c r="F54" s="556"/>
      <c r="G54" s="85"/>
      <c r="H54" s="85"/>
      <c r="I54" s="85"/>
      <c r="J54" s="134"/>
      <c r="K54" s="134"/>
      <c r="L54" s="134"/>
      <c r="M54" s="88"/>
      <c r="N54" s="88"/>
      <c r="O54" s="88"/>
      <c r="P54" s="88"/>
      <c r="Q54" s="88"/>
      <c r="S54" s="1"/>
      <c r="T54" s="1"/>
      <c r="U54" s="1"/>
      <c r="V54" s="1"/>
      <c r="W54" s="1"/>
      <c r="X54" s="92"/>
      <c r="Y54" s="2"/>
      <c r="Z54" s="2"/>
      <c r="AA54" s="2"/>
      <c r="AB54" s="148"/>
      <c r="AC54" s="148"/>
      <c r="AD54" s="92"/>
      <c r="AE54" s="2"/>
      <c r="AF54" s="2"/>
      <c r="AG54" s="2"/>
      <c r="AH54" s="148"/>
      <c r="AI54" s="148"/>
      <c r="AJ54" s="92"/>
    </row>
    <row r="55" spans="1:38" ht="19.5" customHeight="1">
      <c r="A55" s="93"/>
      <c r="B55" s="99" t="s">
        <v>118</v>
      </c>
      <c r="C55" s="84"/>
      <c r="D55" s="556"/>
      <c r="E55" s="556"/>
      <c r="F55" s="556"/>
      <c r="G55" s="125">
        <f>'Income Statement'!D12</f>
        <v>56571</v>
      </c>
      <c r="H55" s="125">
        <f>'Income Statement'!E12</f>
        <v>67984</v>
      </c>
      <c r="I55" s="125">
        <f>'Income Statement'!J12</f>
        <v>81791</v>
      </c>
      <c r="J55" s="125">
        <f>'Income Statement'!O12</f>
        <v>89769</v>
      </c>
      <c r="K55" s="125">
        <f>'Income Statement'!T12</f>
        <v>91322</v>
      </c>
      <c r="L55" s="125">
        <f>'Income Statement'!Y12</f>
        <v>111262</v>
      </c>
      <c r="M55" s="127" t="e">
        <f>M56*M50</f>
        <v>#REF!</v>
      </c>
      <c r="N55" s="127" t="e">
        <f>N56*N50</f>
        <v>#REF!</v>
      </c>
      <c r="O55" s="127" t="e">
        <f>O56*O50</f>
        <v>#REF!</v>
      </c>
      <c r="P55" s="127" t="e">
        <f>P56*P50</f>
        <v>#REF!</v>
      </c>
      <c r="Q55" s="127" t="e">
        <f>Q56*Q50</f>
        <v>#REF!</v>
      </c>
      <c r="S55" s="1"/>
      <c r="T55" s="1"/>
      <c r="U55" s="1"/>
      <c r="V55" s="1"/>
      <c r="W55" s="1"/>
      <c r="X55" s="92"/>
      <c r="Y55" s="753"/>
      <c r="Z55" s="753"/>
      <c r="AA55" s="753"/>
      <c r="AB55" s="148"/>
      <c r="AC55" s="148"/>
      <c r="AD55" s="92"/>
      <c r="AE55" s="753"/>
      <c r="AF55" s="753"/>
      <c r="AG55" s="753"/>
      <c r="AH55" s="148"/>
      <c r="AI55" s="148"/>
      <c r="AJ55" s="92"/>
    </row>
    <row r="56" spans="1:38" ht="19.5" customHeight="1">
      <c r="A56" s="93"/>
      <c r="B56" s="129"/>
      <c r="C56" s="129" t="s">
        <v>240</v>
      </c>
      <c r="D56" s="560"/>
      <c r="E56" s="560"/>
      <c r="F56" s="560"/>
      <c r="G56" s="86">
        <f t="shared" ref="G56:L56" si="11">G55/G50</f>
        <v>0.40035243413091015</v>
      </c>
      <c r="H56" s="86">
        <f t="shared" si="11"/>
        <v>0.37996233016437236</v>
      </c>
      <c r="I56" s="86">
        <f t="shared" si="11"/>
        <v>0.39323730492225739</v>
      </c>
      <c r="J56" s="86">
        <f t="shared" si="11"/>
        <v>0.40236933048260654</v>
      </c>
      <c r="K56" s="86">
        <f t="shared" si="11"/>
        <v>0.38430656319962292</v>
      </c>
      <c r="L56" s="86">
        <f t="shared" si="11"/>
        <v>0.40636676077531891</v>
      </c>
      <c r="M56" s="100">
        <f>1-M53</f>
        <v>0.39679486952658372</v>
      </c>
      <c r="N56" s="100">
        <f>M56</f>
        <v>0.39679486952658372</v>
      </c>
      <c r="O56" s="100">
        <f>N56</f>
        <v>0.39679486952658372</v>
      </c>
      <c r="P56" s="100">
        <f>O56</f>
        <v>0.39679486952658372</v>
      </c>
      <c r="Q56" s="100">
        <f>P56</f>
        <v>0.39679486952658372</v>
      </c>
      <c r="S56" s="1"/>
      <c r="T56" s="1"/>
      <c r="U56" s="1"/>
      <c r="V56" s="148"/>
      <c r="W56" s="148"/>
      <c r="X56" s="92"/>
      <c r="Y56" s="2"/>
      <c r="Z56" s="2"/>
      <c r="AA56" s="2"/>
      <c r="AB56" s="148"/>
      <c r="AC56" s="148"/>
      <c r="AD56" s="92"/>
      <c r="AE56" s="2"/>
      <c r="AF56" s="2"/>
      <c r="AG56" s="2"/>
      <c r="AH56" s="148"/>
      <c r="AI56" s="148"/>
      <c r="AJ56" s="92"/>
    </row>
    <row r="57" spans="1:38" ht="18.75" customHeight="1">
      <c r="A57" s="83"/>
      <c r="B57" s="84"/>
      <c r="C57" s="84"/>
      <c r="D57" s="84"/>
      <c r="E57" s="84"/>
      <c r="F57" s="84"/>
      <c r="G57" s="143"/>
      <c r="H57" s="143"/>
      <c r="I57" s="143"/>
      <c r="J57" s="143"/>
      <c r="K57" s="143"/>
      <c r="L57" s="143"/>
      <c r="M57" s="88"/>
      <c r="N57" s="88"/>
      <c r="O57" s="88"/>
      <c r="P57" s="88"/>
      <c r="Q57" s="88"/>
      <c r="S57" s="1"/>
      <c r="T57" s="1"/>
      <c r="U57" s="1"/>
      <c r="V57" s="148"/>
      <c r="W57" s="148"/>
      <c r="X57" s="92"/>
      <c r="Y57" s="753"/>
      <c r="Z57" s="753"/>
      <c r="AA57" s="753"/>
      <c r="AB57" s="148"/>
      <c r="AC57" s="148"/>
      <c r="AD57" s="92"/>
      <c r="AE57" s="753"/>
      <c r="AF57" s="753"/>
      <c r="AG57" s="753"/>
      <c r="AH57" s="148"/>
      <c r="AI57" s="148"/>
      <c r="AJ57" s="92"/>
    </row>
    <row r="58" spans="1:38" ht="18.75" customHeight="1">
      <c r="A58" s="93"/>
      <c r="B58" s="84"/>
      <c r="C58" s="84"/>
      <c r="D58" s="84"/>
      <c r="E58" s="84"/>
      <c r="F58" s="84"/>
      <c r="G58" s="132"/>
      <c r="H58" s="132"/>
      <c r="I58" s="132"/>
      <c r="J58" s="135"/>
      <c r="K58" s="135"/>
      <c r="L58" s="135"/>
      <c r="M58" s="88"/>
      <c r="N58" s="88"/>
      <c r="O58" s="88"/>
      <c r="P58" s="88"/>
      <c r="Q58" s="88"/>
      <c r="S58" s="1"/>
      <c r="T58" s="149"/>
      <c r="U58" s="1"/>
      <c r="V58" s="148"/>
      <c r="W58" s="148"/>
      <c r="X58" s="92"/>
      <c r="Y58" s="2"/>
      <c r="Z58" s="2"/>
      <c r="AA58" s="2"/>
      <c r="AB58" s="148"/>
      <c r="AC58" s="148"/>
      <c r="AD58" s="92"/>
      <c r="AE58" s="2"/>
      <c r="AF58" s="2"/>
      <c r="AG58" s="2"/>
      <c r="AH58" s="148"/>
      <c r="AI58" s="148"/>
      <c r="AJ58" s="92"/>
    </row>
    <row r="59" spans="1:38" ht="19.5" customHeight="1">
      <c r="A59" s="93"/>
      <c r="B59" s="84"/>
      <c r="C59" s="84"/>
      <c r="D59" s="84"/>
      <c r="E59" s="84"/>
      <c r="F59" s="84"/>
      <c r="G59" s="135"/>
      <c r="H59" s="135"/>
      <c r="I59" s="135"/>
      <c r="J59" s="135"/>
      <c r="K59" s="135"/>
      <c r="L59" s="135"/>
      <c r="M59" s="88"/>
      <c r="N59" s="88"/>
      <c r="O59" s="88"/>
      <c r="P59" s="88"/>
      <c r="Q59" s="88"/>
      <c r="S59" s="1"/>
      <c r="T59" s="149"/>
      <c r="U59" s="1"/>
      <c r="V59" s="148"/>
      <c r="W59" s="148"/>
      <c r="X59" s="92"/>
      <c r="Y59" s="753"/>
      <c r="Z59" s="753"/>
      <c r="AA59" s="753"/>
      <c r="AB59" s="148"/>
      <c r="AC59" s="148"/>
      <c r="AD59" s="92"/>
      <c r="AE59" s="753"/>
      <c r="AF59" s="753"/>
      <c r="AG59" s="753"/>
      <c r="AH59" s="148"/>
      <c r="AI59" s="148"/>
      <c r="AJ59" s="92"/>
    </row>
    <row r="60" spans="1:38" ht="15.75" customHeight="1">
      <c r="A60" s="150"/>
      <c r="B60" s="150"/>
      <c r="C60" s="150"/>
      <c r="D60" s="150"/>
      <c r="E60" s="150"/>
      <c r="F60" s="150"/>
      <c r="G60" s="132"/>
      <c r="H60" s="132"/>
      <c r="I60" s="132"/>
      <c r="J60" s="135"/>
      <c r="K60" s="135"/>
      <c r="L60" s="135"/>
      <c r="M60" s="88"/>
      <c r="N60" s="88"/>
      <c r="O60" s="88"/>
      <c r="P60" s="88"/>
      <c r="Q60" s="88"/>
      <c r="T60" s="1"/>
      <c r="U60" s="1"/>
      <c r="V60" s="1"/>
      <c r="W60" s="1"/>
    </row>
    <row r="61" spans="1:38" ht="15.75" customHeight="1">
      <c r="A61" s="151"/>
      <c r="B61" s="150"/>
      <c r="C61" s="150"/>
      <c r="D61" s="150"/>
      <c r="E61" s="150"/>
      <c r="F61" s="150"/>
      <c r="G61" s="143"/>
      <c r="H61" s="143"/>
      <c r="I61" s="143"/>
      <c r="J61" s="143"/>
      <c r="K61" s="143"/>
      <c r="L61" s="143"/>
      <c r="M61" s="88"/>
      <c r="N61" s="88"/>
      <c r="O61" s="88"/>
      <c r="P61" s="88"/>
      <c r="Q61" s="88"/>
      <c r="T61" s="1"/>
      <c r="U61" s="1"/>
      <c r="V61" s="1"/>
      <c r="W61" s="1"/>
    </row>
    <row r="62" spans="1:38" ht="18.75" customHeight="1">
      <c r="A62" s="152"/>
      <c r="B62" s="152"/>
      <c r="C62" s="152"/>
      <c r="D62" s="152"/>
      <c r="E62" s="152"/>
      <c r="F62" s="152"/>
      <c r="J62" s="153"/>
      <c r="S62" s="1"/>
      <c r="T62" s="1"/>
      <c r="U62" s="1"/>
      <c r="V62" s="1"/>
      <c r="W62" s="1"/>
      <c r="X62" s="92"/>
      <c r="Y62" s="753"/>
      <c r="Z62" s="753"/>
      <c r="AA62" s="753"/>
      <c r="AB62" s="90"/>
      <c r="AC62" s="91"/>
      <c r="AD62" s="92"/>
      <c r="AE62" s="753"/>
      <c r="AF62" s="753"/>
      <c r="AG62" s="753"/>
      <c r="AH62" s="90"/>
      <c r="AI62" s="91"/>
      <c r="AJ62" s="92"/>
    </row>
    <row r="63" spans="1:38" ht="15" customHeight="1">
      <c r="T63" s="1"/>
      <c r="U63" s="1"/>
      <c r="V63" s="1"/>
      <c r="W63" s="1"/>
    </row>
  </sheetData>
  <mergeCells count="9">
    <mergeCell ref="Y59:AA59"/>
    <mergeCell ref="AE59:AG59"/>
    <mergeCell ref="Y62:AA62"/>
    <mergeCell ref="AE62:AG62"/>
    <mergeCell ref="A5:C5"/>
    <mergeCell ref="Y55:AA55"/>
    <mergeCell ref="AE55:AG55"/>
    <mergeCell ref="Y57:AA57"/>
    <mergeCell ref="AE57:AG57"/>
  </mergeCells>
  <pageMargins left="0.7" right="0.7" top="0.75" bottom="0.75" header="0.511811023622047" footer="0.511811023622047"/>
  <pageSetup paperSize="9" orientation="portrait" horizontalDpi="300" verticalDpi="300"/>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W21"/>
  <sheetViews>
    <sheetView showGridLines="0" zoomScaleNormal="100" workbookViewId="0">
      <pane xSplit="2" ySplit="3" topLeftCell="C4" activePane="bottomRight" state="frozen"/>
      <selection pane="bottomRight" activeCell="F5" sqref="F5"/>
      <selection pane="bottomLeft" activeCell="A4" sqref="A4"/>
      <selection pane="topRight" activeCell="C1" sqref="C1"/>
    </sheetView>
  </sheetViews>
  <sheetFormatPr defaultColWidth="8.5" defaultRowHeight="14.25"/>
  <cols>
    <col min="1" max="1" width="2" customWidth="1"/>
    <col min="2" max="2" width="30" customWidth="1"/>
    <col min="3" max="23" width="9.5" customWidth="1"/>
  </cols>
  <sheetData>
    <row r="1" spans="2:23" ht="15" customHeight="1">
      <c r="B1" s="561" t="s">
        <v>341</v>
      </c>
    </row>
    <row r="2" spans="2:23" ht="15" customHeight="1">
      <c r="C2" s="759" t="s">
        <v>342</v>
      </c>
      <c r="D2" s="759"/>
      <c r="E2" s="759"/>
      <c r="F2" s="759"/>
      <c r="G2" s="759"/>
      <c r="H2" s="759" t="s">
        <v>343</v>
      </c>
      <c r="I2" s="759"/>
      <c r="J2" s="759"/>
      <c r="K2" s="759"/>
      <c r="L2" s="759"/>
      <c r="M2" s="759" t="s">
        <v>344</v>
      </c>
      <c r="N2" s="759"/>
      <c r="O2" s="759"/>
      <c r="P2" s="759"/>
      <c r="Q2" s="759"/>
      <c r="R2" s="759" t="s">
        <v>345</v>
      </c>
      <c r="S2" s="759"/>
      <c r="T2" s="759"/>
      <c r="U2" s="759"/>
      <c r="V2" s="759"/>
      <c r="W2" s="562" t="s">
        <v>243</v>
      </c>
    </row>
    <row r="3" spans="2:23" ht="15" customHeight="1">
      <c r="C3" s="563" t="s">
        <v>346</v>
      </c>
      <c r="D3" s="563" t="s">
        <v>347</v>
      </c>
      <c r="E3" s="563" t="s">
        <v>348</v>
      </c>
      <c r="F3" s="563" t="s">
        <v>349</v>
      </c>
      <c r="G3" s="563" t="s">
        <v>350</v>
      </c>
      <c r="H3" s="563" t="s">
        <v>346</v>
      </c>
      <c r="I3" s="563" t="s">
        <v>347</v>
      </c>
      <c r="J3" s="563" t="s">
        <v>348</v>
      </c>
      <c r="K3" s="563" t="s">
        <v>349</v>
      </c>
      <c r="L3" s="563" t="s">
        <v>350</v>
      </c>
      <c r="M3" s="563" t="s">
        <v>346</v>
      </c>
      <c r="N3" s="563" t="s">
        <v>347</v>
      </c>
      <c r="O3" s="563" t="s">
        <v>348</v>
      </c>
      <c r="P3" s="563" t="s">
        <v>349</v>
      </c>
      <c r="Q3" s="563" t="s">
        <v>350</v>
      </c>
      <c r="R3" s="563" t="s">
        <v>346</v>
      </c>
      <c r="S3" s="563" t="s">
        <v>347</v>
      </c>
      <c r="T3" s="563" t="s">
        <v>348</v>
      </c>
      <c r="U3" s="563" t="s">
        <v>349</v>
      </c>
      <c r="V3" s="563" t="s">
        <v>350</v>
      </c>
      <c r="W3" s="563" t="s">
        <v>346</v>
      </c>
    </row>
    <row r="5" spans="2:23" ht="15" customHeight="1">
      <c r="B5" s="564" t="s">
        <v>61</v>
      </c>
      <c r="C5" s="565">
        <v>68011</v>
      </c>
      <c r="D5" s="565">
        <v>69685</v>
      </c>
      <c r="E5" s="565">
        <v>69092</v>
      </c>
      <c r="F5" s="566">
        <f>G5-SUM(C5:E5)</f>
        <v>76048</v>
      </c>
      <c r="G5" s="567">
        <f>'Income Statement'!J6</f>
        <v>282836</v>
      </c>
      <c r="H5" s="565">
        <v>69787</v>
      </c>
      <c r="I5" s="565">
        <v>74604</v>
      </c>
      <c r="J5" s="565">
        <v>76693</v>
      </c>
      <c r="K5" s="566">
        <f>L5-SUM(H5:J5)</f>
        <v>86310</v>
      </c>
      <c r="L5" s="567">
        <f>'Income Statement'!O6</f>
        <v>307394</v>
      </c>
      <c r="M5" s="565">
        <v>80539</v>
      </c>
      <c r="N5" s="565">
        <v>84742</v>
      </c>
      <c r="O5" s="565">
        <v>88268</v>
      </c>
      <c r="P5" s="566">
        <f>Q5-SUM(M5:O5)</f>
        <v>96469</v>
      </c>
      <c r="Q5" s="567">
        <f>'Income Statement'!T6</f>
        <v>350018</v>
      </c>
      <c r="R5" s="565">
        <v>90234</v>
      </c>
      <c r="S5" s="565">
        <v>96428</v>
      </c>
      <c r="T5" s="565">
        <v>102346</v>
      </c>
      <c r="U5" s="566">
        <f>V5-SUM(R5:T5)</f>
        <v>113828</v>
      </c>
      <c r="V5" s="567">
        <f>'Income Statement'!Y6</f>
        <v>402836</v>
      </c>
      <c r="W5" s="565">
        <v>109896</v>
      </c>
    </row>
    <row r="6" spans="2:23" ht="15" customHeight="1">
      <c r="B6" s="568" t="s">
        <v>224</v>
      </c>
    </row>
    <row r="7" spans="2:23" ht="15" customHeight="1">
      <c r="B7" s="568" t="s">
        <v>351</v>
      </c>
      <c r="C7" s="565">
        <v>29599</v>
      </c>
      <c r="D7" s="565">
        <v>30104</v>
      </c>
      <c r="E7" s="565">
        <v>31158</v>
      </c>
      <c r="F7" s="566">
        <f>G7-SUM(C7:E7)</f>
        <v>35342</v>
      </c>
      <c r="G7" s="567">
        <f>'Income Statement'!J8</f>
        <v>126203</v>
      </c>
      <c r="H7" s="565">
        <v>30612</v>
      </c>
      <c r="I7" s="565">
        <v>31916</v>
      </c>
      <c r="J7" s="565">
        <v>33229</v>
      </c>
      <c r="K7" s="566">
        <f>L7-SUM(H7:J7)</f>
        <v>37575</v>
      </c>
      <c r="L7" s="567">
        <f>'Income Statement'!O8</f>
        <v>133332</v>
      </c>
      <c r="M7" s="565">
        <v>33712</v>
      </c>
      <c r="N7" s="565">
        <v>35507</v>
      </c>
      <c r="O7" s="565">
        <v>36474</v>
      </c>
      <c r="P7" s="566">
        <f>Q7-SUM(M7:O7)</f>
        <v>40613</v>
      </c>
      <c r="Q7" s="567">
        <f>'Income Statement'!T8</f>
        <v>146306</v>
      </c>
      <c r="R7" s="565">
        <v>36361</v>
      </c>
      <c r="S7" s="565">
        <v>39039</v>
      </c>
      <c r="T7" s="565">
        <v>41369</v>
      </c>
      <c r="U7" s="566">
        <f>V7-SUM(R7:T7)</f>
        <v>45766</v>
      </c>
      <c r="V7" s="567">
        <f>'Income Statement'!Y8</f>
        <v>162535</v>
      </c>
      <c r="W7" s="565">
        <v>41271</v>
      </c>
    </row>
    <row r="8" spans="2:23" ht="15" customHeight="1">
      <c r="B8" s="564" t="s">
        <v>64</v>
      </c>
      <c r="C8" s="566">
        <f t="shared" ref="C8:W8" si="0">C5-C7</f>
        <v>38412</v>
      </c>
      <c r="D8" s="566">
        <f t="shared" si="0"/>
        <v>39581</v>
      </c>
      <c r="E8" s="566">
        <f t="shared" si="0"/>
        <v>37934</v>
      </c>
      <c r="F8" s="566">
        <f t="shared" si="0"/>
        <v>40706</v>
      </c>
      <c r="G8" s="566">
        <f t="shared" si="0"/>
        <v>156633</v>
      </c>
      <c r="H8" s="566">
        <f t="shared" si="0"/>
        <v>39175</v>
      </c>
      <c r="I8" s="566">
        <f t="shared" si="0"/>
        <v>42688</v>
      </c>
      <c r="J8" s="566">
        <f t="shared" si="0"/>
        <v>43464</v>
      </c>
      <c r="K8" s="566">
        <f t="shared" si="0"/>
        <v>48735</v>
      </c>
      <c r="L8" s="566">
        <f t="shared" si="0"/>
        <v>174062</v>
      </c>
      <c r="M8" s="566">
        <f t="shared" si="0"/>
        <v>46827</v>
      </c>
      <c r="N8" s="566">
        <f t="shared" si="0"/>
        <v>49235</v>
      </c>
      <c r="O8" s="566">
        <f t="shared" si="0"/>
        <v>51794</v>
      </c>
      <c r="P8" s="566">
        <f t="shared" si="0"/>
        <v>55856</v>
      </c>
      <c r="Q8" s="566">
        <f t="shared" si="0"/>
        <v>203712</v>
      </c>
      <c r="R8" s="566">
        <f t="shared" si="0"/>
        <v>53873</v>
      </c>
      <c r="S8" s="566">
        <f t="shared" si="0"/>
        <v>57389</v>
      </c>
      <c r="T8" s="566">
        <f t="shared" si="0"/>
        <v>60977</v>
      </c>
      <c r="U8" s="566">
        <f t="shared" si="0"/>
        <v>68062</v>
      </c>
      <c r="V8" s="566">
        <f t="shared" si="0"/>
        <v>240301</v>
      </c>
      <c r="W8" s="566">
        <f t="shared" si="0"/>
        <v>68625</v>
      </c>
    </row>
    <row r="9" spans="2:23" ht="15" customHeight="1">
      <c r="B9" s="564" t="s">
        <v>352</v>
      </c>
      <c r="C9" s="566">
        <f t="shared" ref="C9:W9" si="1">C10+C11+C12</f>
        <v>18318</v>
      </c>
      <c r="D9" s="566">
        <f t="shared" si="1"/>
        <v>20128</v>
      </c>
      <c r="E9" s="566">
        <f t="shared" si="1"/>
        <v>20799</v>
      </c>
      <c r="F9" s="566">
        <f t="shared" si="1"/>
        <v>22546</v>
      </c>
      <c r="G9" s="566">
        <f t="shared" si="1"/>
        <v>81791</v>
      </c>
      <c r="H9" s="566">
        <f t="shared" si="1"/>
        <v>21760</v>
      </c>
      <c r="I9" s="566">
        <f t="shared" si="1"/>
        <v>20850</v>
      </c>
      <c r="J9" s="566">
        <f t="shared" si="1"/>
        <v>22121</v>
      </c>
      <c r="K9" s="566">
        <f t="shared" si="1"/>
        <v>25038</v>
      </c>
      <c r="L9" s="566">
        <f t="shared" si="1"/>
        <v>89769</v>
      </c>
      <c r="M9" s="566">
        <f t="shared" si="1"/>
        <v>21355</v>
      </c>
      <c r="N9" s="566">
        <f t="shared" si="1"/>
        <v>21810</v>
      </c>
      <c r="O9" s="566">
        <f t="shared" si="1"/>
        <v>23273</v>
      </c>
      <c r="P9" s="566">
        <f t="shared" si="1"/>
        <v>24884</v>
      </c>
      <c r="Q9" s="566">
        <f t="shared" si="1"/>
        <v>91322</v>
      </c>
      <c r="R9" s="566">
        <f t="shared" si="1"/>
        <v>23267</v>
      </c>
      <c r="S9" s="566">
        <f t="shared" si="1"/>
        <v>26118</v>
      </c>
      <c r="T9" s="566">
        <f t="shared" si="1"/>
        <v>29749</v>
      </c>
      <c r="U9" s="566">
        <f t="shared" si="1"/>
        <v>32128</v>
      </c>
      <c r="V9" s="566">
        <f t="shared" si="1"/>
        <v>111262</v>
      </c>
      <c r="W9" s="566">
        <f t="shared" si="1"/>
        <v>28929</v>
      </c>
    </row>
    <row r="10" spans="2:23" ht="15" customHeight="1">
      <c r="B10" s="568" t="s">
        <v>353</v>
      </c>
      <c r="C10" s="565">
        <v>9119</v>
      </c>
      <c r="D10" s="565">
        <v>9841</v>
      </c>
      <c r="E10" s="565">
        <v>10273</v>
      </c>
      <c r="F10" s="566">
        <f>G10-SUM(C10:E10)</f>
        <v>10267</v>
      </c>
      <c r="G10" s="567">
        <f>'Income Statement'!J13</f>
        <v>39500</v>
      </c>
      <c r="H10" s="565">
        <v>11468</v>
      </c>
      <c r="I10" s="565">
        <v>10588</v>
      </c>
      <c r="J10" s="565">
        <v>11258</v>
      </c>
      <c r="K10" s="566">
        <f>L10-SUM(H10:J10)</f>
        <v>12113</v>
      </c>
      <c r="L10" s="567">
        <f>'Income Statement'!O13</f>
        <v>45427</v>
      </c>
      <c r="M10" s="565">
        <v>11903</v>
      </c>
      <c r="N10" s="565">
        <v>11860</v>
      </c>
      <c r="O10" s="565">
        <v>12447</v>
      </c>
      <c r="P10" s="566">
        <f>Q10-SUM(M10:O10)</f>
        <v>13116</v>
      </c>
      <c r="Q10" s="567">
        <f>'Income Statement'!T13</f>
        <v>49326</v>
      </c>
      <c r="R10" s="565">
        <v>13556</v>
      </c>
      <c r="S10" s="565">
        <v>13808</v>
      </c>
      <c r="T10" s="565">
        <v>15151</v>
      </c>
      <c r="U10" s="566">
        <f>V10-SUM(R10:T10)</f>
        <v>18572</v>
      </c>
      <c r="V10" s="567">
        <f>'Income Statement'!Y13</f>
        <v>61087</v>
      </c>
      <c r="W10" s="565">
        <v>17032</v>
      </c>
    </row>
    <row r="11" spans="2:23" ht="15" customHeight="1">
      <c r="B11" s="568" t="s">
        <v>354</v>
      </c>
      <c r="C11" s="565">
        <v>5825</v>
      </c>
      <c r="D11" s="565">
        <v>6630</v>
      </c>
      <c r="E11" s="565">
        <v>6929</v>
      </c>
      <c r="F11" s="566">
        <f>G11-SUM(C11:E11)</f>
        <v>7183</v>
      </c>
      <c r="G11" s="567">
        <f>'Income Statement'!J14</f>
        <v>26567</v>
      </c>
      <c r="H11" s="565">
        <v>6533</v>
      </c>
      <c r="I11" s="565">
        <v>6781</v>
      </c>
      <c r="J11" s="565">
        <v>6884</v>
      </c>
      <c r="K11" s="566">
        <f>L11-SUM(H11:J11)</f>
        <v>7719</v>
      </c>
      <c r="L11" s="567">
        <f>'Income Statement'!O14</f>
        <v>27917</v>
      </c>
      <c r="M11" s="565">
        <v>6426</v>
      </c>
      <c r="N11" s="565">
        <v>6792</v>
      </c>
      <c r="O11" s="565">
        <v>7227</v>
      </c>
      <c r="P11" s="566">
        <f>Q11-SUM(M11:O11)</f>
        <v>7363</v>
      </c>
      <c r="Q11" s="567">
        <f>'Income Statement'!T14</f>
        <v>27808</v>
      </c>
      <c r="R11" s="565">
        <v>6172</v>
      </c>
      <c r="S11" s="565">
        <v>7101</v>
      </c>
      <c r="T11" s="565">
        <v>7205</v>
      </c>
      <c r="U11" s="566">
        <f>V11-SUM(R11:T11)</f>
        <v>8215</v>
      </c>
      <c r="V11" s="567">
        <f>'Income Statement'!Y14</f>
        <v>28693</v>
      </c>
      <c r="W11" s="565">
        <v>7606</v>
      </c>
    </row>
    <row r="12" spans="2:23" ht="15" customHeight="1">
      <c r="B12" s="568" t="s">
        <v>355</v>
      </c>
      <c r="C12" s="565">
        <v>3374</v>
      </c>
      <c r="D12" s="565">
        <v>3657</v>
      </c>
      <c r="E12" s="565">
        <v>3597</v>
      </c>
      <c r="F12" s="566">
        <f>G12-SUM(C12:E12)</f>
        <v>5096</v>
      </c>
      <c r="G12" s="567">
        <f>'Income Statement'!J15</f>
        <v>15724</v>
      </c>
      <c r="H12" s="565">
        <v>3759</v>
      </c>
      <c r="I12" s="565">
        <v>3481</v>
      </c>
      <c r="J12" s="565">
        <v>3979</v>
      </c>
      <c r="K12" s="566">
        <f>L12-SUM(H12:J12)</f>
        <v>5206</v>
      </c>
      <c r="L12" s="567">
        <f>'Income Statement'!O15</f>
        <v>16425</v>
      </c>
      <c r="M12" s="565">
        <v>3026</v>
      </c>
      <c r="N12" s="565">
        <v>3158</v>
      </c>
      <c r="O12" s="565">
        <v>3599</v>
      </c>
      <c r="P12" s="566">
        <f>Q12-SUM(M12:O12)</f>
        <v>4405</v>
      </c>
      <c r="Q12" s="567">
        <f>'Income Statement'!T15</f>
        <v>14188</v>
      </c>
      <c r="R12" s="565">
        <v>3539</v>
      </c>
      <c r="S12" s="565">
        <v>5209</v>
      </c>
      <c r="T12" s="565">
        <v>7393</v>
      </c>
      <c r="U12" s="566">
        <f>V12-SUM(R12:T12)</f>
        <v>5341</v>
      </c>
      <c r="V12" s="567">
        <f>'Income Statement'!Y15</f>
        <v>21482</v>
      </c>
      <c r="W12" s="565">
        <v>4291</v>
      </c>
    </row>
    <row r="14" spans="2:23" ht="15" customHeight="1">
      <c r="B14" s="564" t="s">
        <v>69</v>
      </c>
      <c r="C14" s="566">
        <f t="shared" ref="C14:W14" si="2">C8-C9</f>
        <v>20094</v>
      </c>
      <c r="D14" s="566">
        <f t="shared" si="2"/>
        <v>19453</v>
      </c>
      <c r="E14" s="566">
        <f t="shared" si="2"/>
        <v>17135</v>
      </c>
      <c r="F14" s="566">
        <f t="shared" si="2"/>
        <v>18160</v>
      </c>
      <c r="G14" s="566">
        <f t="shared" si="2"/>
        <v>74842</v>
      </c>
      <c r="H14" s="566">
        <f t="shared" si="2"/>
        <v>17415</v>
      </c>
      <c r="I14" s="566">
        <f t="shared" si="2"/>
        <v>21838</v>
      </c>
      <c r="J14" s="566">
        <f t="shared" si="2"/>
        <v>21343</v>
      </c>
      <c r="K14" s="566">
        <f t="shared" si="2"/>
        <v>23697</v>
      </c>
      <c r="L14" s="566">
        <f t="shared" si="2"/>
        <v>84293</v>
      </c>
      <c r="M14" s="566">
        <f t="shared" si="2"/>
        <v>25472</v>
      </c>
      <c r="N14" s="566">
        <f t="shared" si="2"/>
        <v>27425</v>
      </c>
      <c r="O14" s="566">
        <f t="shared" si="2"/>
        <v>28521</v>
      </c>
      <c r="P14" s="566">
        <f t="shared" si="2"/>
        <v>30972</v>
      </c>
      <c r="Q14" s="566">
        <f t="shared" si="2"/>
        <v>112390</v>
      </c>
      <c r="R14" s="566">
        <f t="shared" si="2"/>
        <v>30606</v>
      </c>
      <c r="S14" s="566">
        <f t="shared" si="2"/>
        <v>31271</v>
      </c>
      <c r="T14" s="566">
        <f t="shared" si="2"/>
        <v>31228</v>
      </c>
      <c r="U14" s="566">
        <f t="shared" si="2"/>
        <v>35934</v>
      </c>
      <c r="V14" s="566">
        <f t="shared" si="2"/>
        <v>129039</v>
      </c>
      <c r="W14" s="566">
        <f t="shared" si="2"/>
        <v>39696</v>
      </c>
    </row>
    <row r="15" spans="2:23" ht="15" customHeight="1">
      <c r="B15" s="568" t="s">
        <v>356</v>
      </c>
      <c r="C15" s="565">
        <v>-1160</v>
      </c>
      <c r="D15" s="565">
        <v>-439</v>
      </c>
      <c r="E15" s="565">
        <v>-902</v>
      </c>
      <c r="F15" s="566">
        <f>G15-SUM(C15:E15)</f>
        <v>-1013</v>
      </c>
      <c r="G15" s="567">
        <f>'Income Statement'!J19</f>
        <v>-3514</v>
      </c>
      <c r="H15" s="565">
        <v>790</v>
      </c>
      <c r="I15" s="565">
        <v>65</v>
      </c>
      <c r="J15" s="565">
        <v>-146</v>
      </c>
      <c r="K15" s="566">
        <f>L15-SUM(H15:J15)</f>
        <v>715</v>
      </c>
      <c r="L15" s="567">
        <f>'Income Statement'!O19</f>
        <v>1424</v>
      </c>
      <c r="M15" s="565">
        <v>2843</v>
      </c>
      <c r="N15" s="565">
        <v>126</v>
      </c>
      <c r="O15" s="565">
        <v>3185</v>
      </c>
      <c r="P15" s="566">
        <f>Q15-SUM(M15:O15)</f>
        <v>1271</v>
      </c>
      <c r="Q15" s="567">
        <f>'Income Statement'!T19</f>
        <v>7425</v>
      </c>
      <c r="R15" s="565">
        <v>11183</v>
      </c>
      <c r="S15" s="565">
        <v>2662</v>
      </c>
      <c r="T15" s="565">
        <v>12759</v>
      </c>
      <c r="U15" s="566">
        <f>V15-SUM(R15:T15)</f>
        <v>3183</v>
      </c>
      <c r="V15" s="567">
        <f>'Income Statement'!Y19</f>
        <v>29787</v>
      </c>
      <c r="W15" s="565">
        <v>37716</v>
      </c>
    </row>
    <row r="17" spans="2:23" ht="15" customHeight="1">
      <c r="B17" s="564" t="s">
        <v>75</v>
      </c>
      <c r="C17" s="566">
        <f t="shared" ref="C17:W17" si="3">C14+C15</f>
        <v>18934</v>
      </c>
      <c r="D17" s="566">
        <f t="shared" si="3"/>
        <v>19014</v>
      </c>
      <c r="E17" s="566">
        <f t="shared" si="3"/>
        <v>16233</v>
      </c>
      <c r="F17" s="566">
        <f t="shared" si="3"/>
        <v>17147</v>
      </c>
      <c r="G17" s="566">
        <f t="shared" si="3"/>
        <v>71328</v>
      </c>
      <c r="H17" s="566">
        <f t="shared" si="3"/>
        <v>18205</v>
      </c>
      <c r="I17" s="566">
        <f t="shared" si="3"/>
        <v>21903</v>
      </c>
      <c r="J17" s="566">
        <f t="shared" si="3"/>
        <v>21197</v>
      </c>
      <c r="K17" s="566">
        <f t="shared" si="3"/>
        <v>24412</v>
      </c>
      <c r="L17" s="566">
        <f t="shared" si="3"/>
        <v>85717</v>
      </c>
      <c r="M17" s="566">
        <f t="shared" si="3"/>
        <v>28315</v>
      </c>
      <c r="N17" s="566">
        <f t="shared" si="3"/>
        <v>27551</v>
      </c>
      <c r="O17" s="566">
        <f t="shared" si="3"/>
        <v>31706</v>
      </c>
      <c r="P17" s="566">
        <f t="shared" si="3"/>
        <v>32243</v>
      </c>
      <c r="Q17" s="566">
        <f t="shared" si="3"/>
        <v>119815</v>
      </c>
      <c r="R17" s="566">
        <f t="shared" si="3"/>
        <v>41789</v>
      </c>
      <c r="S17" s="566">
        <f t="shared" si="3"/>
        <v>33933</v>
      </c>
      <c r="T17" s="566">
        <f t="shared" si="3"/>
        <v>43987</v>
      </c>
      <c r="U17" s="566">
        <f t="shared" si="3"/>
        <v>39117</v>
      </c>
      <c r="V17" s="566">
        <f t="shared" si="3"/>
        <v>158826</v>
      </c>
      <c r="W17" s="566">
        <f t="shared" si="3"/>
        <v>77412</v>
      </c>
    </row>
    <row r="18" spans="2:23" ht="15" customHeight="1">
      <c r="B18" s="568" t="s">
        <v>76</v>
      </c>
      <c r="C18" s="565">
        <v>2498</v>
      </c>
      <c r="D18" s="565">
        <v>3012</v>
      </c>
      <c r="E18" s="565">
        <v>2323</v>
      </c>
      <c r="F18" s="566">
        <f>G18-SUM(C18:E18)</f>
        <v>3523</v>
      </c>
      <c r="G18" s="567">
        <f>'Income Statement'!J27</f>
        <v>11356</v>
      </c>
      <c r="H18" s="565">
        <v>3154</v>
      </c>
      <c r="I18" s="565">
        <v>3535</v>
      </c>
      <c r="J18" s="565">
        <v>1508</v>
      </c>
      <c r="K18" s="566">
        <f>L18-SUM(H18:J18)</f>
        <v>3725</v>
      </c>
      <c r="L18" s="567">
        <f>'Income Statement'!O27</f>
        <v>11922</v>
      </c>
      <c r="M18" s="565">
        <v>4653</v>
      </c>
      <c r="N18" s="565">
        <v>3932</v>
      </c>
      <c r="O18" s="565">
        <v>5405</v>
      </c>
      <c r="P18" s="566">
        <f>Q18-SUM(M18:O18)</f>
        <v>5707</v>
      </c>
      <c r="Q18" s="567">
        <f>'Income Statement'!T27</f>
        <v>19697</v>
      </c>
      <c r="R18" s="565">
        <v>7249</v>
      </c>
      <c r="S18" s="565">
        <v>5737</v>
      </c>
      <c r="T18" s="565">
        <v>9008</v>
      </c>
      <c r="U18" s="566">
        <f>V18-SUM(R18:T18)</f>
        <v>4662</v>
      </c>
      <c r="V18" s="567">
        <f>'Income Statement'!Y27</f>
        <v>26656</v>
      </c>
      <c r="W18" s="565">
        <v>14834</v>
      </c>
    </row>
    <row r="19" spans="2:23" ht="15" customHeight="1">
      <c r="B19" s="568" t="s">
        <v>77</v>
      </c>
      <c r="C19" s="569">
        <f t="shared" ref="C19:W19" si="4">IF(C17=0,0,C18/C17)</f>
        <v>0.13193197422625963</v>
      </c>
      <c r="D19" s="569">
        <f t="shared" si="4"/>
        <v>0.15840959293152415</v>
      </c>
      <c r="E19" s="569">
        <f t="shared" si="4"/>
        <v>0.14310355448777182</v>
      </c>
      <c r="F19" s="569">
        <f t="shared" si="4"/>
        <v>0.20545868081880211</v>
      </c>
      <c r="G19" s="569">
        <f t="shared" si="4"/>
        <v>0.1592081650964558</v>
      </c>
      <c r="H19" s="569">
        <f t="shared" si="4"/>
        <v>0.17324910738808019</v>
      </c>
      <c r="I19" s="569">
        <f t="shared" si="4"/>
        <v>0.16139341642697347</v>
      </c>
      <c r="J19" s="569">
        <f t="shared" si="4"/>
        <v>7.1142142756050381E-2</v>
      </c>
      <c r="K19" s="569">
        <f t="shared" si="4"/>
        <v>0.15258889070948714</v>
      </c>
      <c r="L19" s="569">
        <f t="shared" si="4"/>
        <v>0.13908559562280529</v>
      </c>
      <c r="M19" s="569">
        <f t="shared" si="4"/>
        <v>0.16432986049796927</v>
      </c>
      <c r="N19" s="569">
        <f t="shared" si="4"/>
        <v>0.14271714275343908</v>
      </c>
      <c r="O19" s="569">
        <f t="shared" si="4"/>
        <v>0.17047246577934777</v>
      </c>
      <c r="P19" s="569">
        <f t="shared" si="4"/>
        <v>0.17699965884067859</v>
      </c>
      <c r="Q19" s="569">
        <f t="shared" si="4"/>
        <v>0.16439510912657013</v>
      </c>
      <c r="R19" s="569">
        <f t="shared" si="4"/>
        <v>0.173466701763622</v>
      </c>
      <c r="S19" s="569">
        <f t="shared" si="4"/>
        <v>0.16906845843279403</v>
      </c>
      <c r="T19" s="569">
        <f t="shared" si="4"/>
        <v>0.20478777820719757</v>
      </c>
      <c r="U19" s="569">
        <f t="shared" si="4"/>
        <v>0.11918091878211519</v>
      </c>
      <c r="V19" s="569">
        <f t="shared" si="4"/>
        <v>0.16783146336242177</v>
      </c>
      <c r="W19" s="569">
        <f t="shared" si="4"/>
        <v>0.19162403761690694</v>
      </c>
    </row>
    <row r="20" spans="2:23" ht="15" customHeight="1">
      <c r="B20" s="564" t="s">
        <v>78</v>
      </c>
      <c r="C20" s="566">
        <f t="shared" ref="C20:W20" si="5">C17-C18</f>
        <v>16436</v>
      </c>
      <c r="D20" s="566">
        <f t="shared" si="5"/>
        <v>16002</v>
      </c>
      <c r="E20" s="566">
        <f t="shared" si="5"/>
        <v>13910</v>
      </c>
      <c r="F20" s="566">
        <f t="shared" si="5"/>
        <v>13624</v>
      </c>
      <c r="G20" s="566">
        <f t="shared" si="5"/>
        <v>59972</v>
      </c>
      <c r="H20" s="566">
        <f t="shared" si="5"/>
        <v>15051</v>
      </c>
      <c r="I20" s="566">
        <f t="shared" si="5"/>
        <v>18368</v>
      </c>
      <c r="J20" s="566">
        <f t="shared" si="5"/>
        <v>19689</v>
      </c>
      <c r="K20" s="566">
        <f t="shared" si="5"/>
        <v>20687</v>
      </c>
      <c r="L20" s="566">
        <f t="shared" si="5"/>
        <v>73795</v>
      </c>
      <c r="M20" s="566">
        <f t="shared" si="5"/>
        <v>23662</v>
      </c>
      <c r="N20" s="566">
        <f t="shared" si="5"/>
        <v>23619</v>
      </c>
      <c r="O20" s="566">
        <f t="shared" si="5"/>
        <v>26301</v>
      </c>
      <c r="P20" s="566">
        <f t="shared" si="5"/>
        <v>26536</v>
      </c>
      <c r="Q20" s="566">
        <f t="shared" si="5"/>
        <v>100118</v>
      </c>
      <c r="R20" s="566">
        <f t="shared" si="5"/>
        <v>34540</v>
      </c>
      <c r="S20" s="566">
        <f t="shared" si="5"/>
        <v>28196</v>
      </c>
      <c r="T20" s="566">
        <f t="shared" si="5"/>
        <v>34979</v>
      </c>
      <c r="U20" s="566">
        <f t="shared" si="5"/>
        <v>34455</v>
      </c>
      <c r="V20" s="566">
        <f t="shared" si="5"/>
        <v>132170</v>
      </c>
      <c r="W20" s="566">
        <f t="shared" si="5"/>
        <v>62578</v>
      </c>
    </row>
    <row r="21" spans="2:23" ht="15" customHeight="1">
      <c r="B21" s="568" t="s">
        <v>357</v>
      </c>
      <c r="C21" s="569">
        <f t="shared" ref="C21:W21" si="6">IF(C5=0,0,C20/C5)</f>
        <v>0.24166678919586537</v>
      </c>
      <c r="D21" s="569">
        <f t="shared" si="6"/>
        <v>0.22963335007533903</v>
      </c>
      <c r="E21" s="569">
        <f t="shared" si="6"/>
        <v>0.20132576854049672</v>
      </c>
      <c r="F21" s="569">
        <f t="shared" si="6"/>
        <v>0.17915001051967178</v>
      </c>
      <c r="G21" s="569">
        <f t="shared" si="6"/>
        <v>0.21203807153261961</v>
      </c>
      <c r="H21" s="569">
        <f t="shared" si="6"/>
        <v>0.21567054035851949</v>
      </c>
      <c r="I21" s="569">
        <f t="shared" si="6"/>
        <v>0.2462066377137955</v>
      </c>
      <c r="J21" s="569">
        <f t="shared" si="6"/>
        <v>0.25672486406842865</v>
      </c>
      <c r="K21" s="569">
        <f t="shared" si="6"/>
        <v>0.23968253968253969</v>
      </c>
      <c r="L21" s="569">
        <f t="shared" si="6"/>
        <v>0.24006649446638517</v>
      </c>
      <c r="M21" s="569">
        <f t="shared" si="6"/>
        <v>0.29379555246526529</v>
      </c>
      <c r="N21" s="569">
        <f t="shared" si="6"/>
        <v>0.27871657501593072</v>
      </c>
      <c r="O21" s="569">
        <f t="shared" si="6"/>
        <v>0.29796755336022113</v>
      </c>
      <c r="P21" s="569">
        <f t="shared" si="6"/>
        <v>0.27507282132083882</v>
      </c>
      <c r="Q21" s="569">
        <f t="shared" si="6"/>
        <v>0.28603671811164</v>
      </c>
      <c r="R21" s="569">
        <f t="shared" si="6"/>
        <v>0.38278254316554733</v>
      </c>
      <c r="S21" s="569">
        <f t="shared" si="6"/>
        <v>0.29240469573153027</v>
      </c>
      <c r="T21" s="569">
        <f t="shared" si="6"/>
        <v>0.34177202821800556</v>
      </c>
      <c r="U21" s="569">
        <f t="shared" si="6"/>
        <v>0.30269353761816076</v>
      </c>
      <c r="V21" s="569">
        <f t="shared" si="6"/>
        <v>0.32809877965226542</v>
      </c>
      <c r="W21" s="569">
        <f t="shared" si="6"/>
        <v>0.5694292785906675</v>
      </c>
    </row>
  </sheetData>
  <mergeCells count="4">
    <mergeCell ref="C2:G2"/>
    <mergeCell ref="H2:L2"/>
    <mergeCell ref="M2:Q2"/>
    <mergeCell ref="R2:V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W27"/>
  <sheetViews>
    <sheetView showGridLines="0" zoomScaleNormal="100" workbookViewId="0">
      <pane xSplit="2" ySplit="3" topLeftCell="C4" activePane="bottomRight" state="frozen"/>
      <selection pane="bottomRight" activeCell="F1" sqref="F1"/>
      <selection pane="bottomLeft" activeCell="A4" sqref="A4"/>
      <selection pane="topRight" activeCell="C1" sqref="C1"/>
    </sheetView>
  </sheetViews>
  <sheetFormatPr defaultColWidth="8.5" defaultRowHeight="14.25"/>
  <cols>
    <col min="1" max="1" width="2" customWidth="1"/>
    <col min="2" max="2" width="32" customWidth="1"/>
    <col min="3" max="23" width="9.5" customWidth="1"/>
  </cols>
  <sheetData>
    <row r="1" spans="2:23" ht="15" customHeight="1">
      <c r="B1" s="561" t="s">
        <v>358</v>
      </c>
    </row>
    <row r="2" spans="2:23" ht="15" customHeight="1">
      <c r="C2" s="759" t="s">
        <v>342</v>
      </c>
      <c r="D2" s="759"/>
      <c r="E2" s="759"/>
      <c r="F2" s="759"/>
      <c r="G2" s="759"/>
      <c r="H2" s="759" t="s">
        <v>343</v>
      </c>
      <c r="I2" s="759"/>
      <c r="J2" s="759"/>
      <c r="K2" s="759"/>
      <c r="L2" s="759"/>
      <c r="M2" s="759" t="s">
        <v>344</v>
      </c>
      <c r="N2" s="759"/>
      <c r="O2" s="759"/>
      <c r="P2" s="759"/>
      <c r="Q2" s="759"/>
      <c r="R2" s="759" t="s">
        <v>345</v>
      </c>
      <c r="S2" s="759"/>
      <c r="T2" s="759"/>
      <c r="U2" s="759"/>
      <c r="V2" s="759"/>
      <c r="W2" s="562" t="s">
        <v>243</v>
      </c>
    </row>
    <row r="3" spans="2:23" ht="15" customHeight="1">
      <c r="C3" s="563" t="s">
        <v>346</v>
      </c>
      <c r="D3" s="563" t="s">
        <v>347</v>
      </c>
      <c r="E3" s="563" t="s">
        <v>348</v>
      </c>
      <c r="F3" s="563" t="s">
        <v>349</v>
      </c>
      <c r="G3" s="563" t="s">
        <v>350</v>
      </c>
      <c r="H3" s="563" t="s">
        <v>346</v>
      </c>
      <c r="I3" s="563" t="s">
        <v>347</v>
      </c>
      <c r="J3" s="563" t="s">
        <v>348</v>
      </c>
      <c r="K3" s="563" t="s">
        <v>349</v>
      </c>
      <c r="L3" s="563" t="s">
        <v>350</v>
      </c>
      <c r="M3" s="563" t="s">
        <v>346</v>
      </c>
      <c r="N3" s="563" t="s">
        <v>347</v>
      </c>
      <c r="O3" s="563" t="s">
        <v>348</v>
      </c>
      <c r="P3" s="563" t="s">
        <v>349</v>
      </c>
      <c r="Q3" s="563" t="s">
        <v>350</v>
      </c>
      <c r="R3" s="563" t="s">
        <v>346</v>
      </c>
      <c r="S3" s="563" t="s">
        <v>347</v>
      </c>
      <c r="T3" s="563" t="s">
        <v>348</v>
      </c>
      <c r="U3" s="563" t="s">
        <v>349</v>
      </c>
      <c r="V3" s="563" t="s">
        <v>350</v>
      </c>
      <c r="W3" s="563" t="s">
        <v>346</v>
      </c>
    </row>
    <row r="5" spans="2:23" ht="15" customHeight="1">
      <c r="B5" s="568" t="s">
        <v>359</v>
      </c>
      <c r="C5" s="565">
        <v>39618</v>
      </c>
      <c r="D5" s="565">
        <v>40689</v>
      </c>
      <c r="E5" s="565">
        <v>39539</v>
      </c>
      <c r="F5" s="566">
        <f>G5-SUM(C5:E5)</f>
        <v>42604</v>
      </c>
      <c r="G5" s="567">
        <f>'Build Up (2)'!I8</f>
        <v>162450</v>
      </c>
      <c r="H5" s="565">
        <v>40359</v>
      </c>
      <c r="I5" s="565">
        <v>42628</v>
      </c>
      <c r="J5" s="565">
        <v>44026</v>
      </c>
      <c r="K5" s="566">
        <f>L5-SUM(H5:J5)</f>
        <v>48020</v>
      </c>
      <c r="L5" s="567">
        <f>'Build Up (2)'!J8</f>
        <v>175033</v>
      </c>
      <c r="M5" s="565">
        <v>46156</v>
      </c>
      <c r="N5" s="565">
        <v>48509</v>
      </c>
      <c r="O5" s="565">
        <v>49385</v>
      </c>
      <c r="P5" s="566">
        <f>Q5-SUM(M5:O5)</f>
        <v>54034</v>
      </c>
      <c r="Q5" s="567">
        <f>'Build Up (2)'!K8</f>
        <v>198084</v>
      </c>
      <c r="R5" s="565">
        <v>50702</v>
      </c>
      <c r="S5" s="565">
        <v>54190</v>
      </c>
      <c r="T5" s="565">
        <v>56567</v>
      </c>
      <c r="U5" s="566">
        <f>V5-SUM(R5:T5)</f>
        <v>63073</v>
      </c>
      <c r="V5" s="567">
        <f>'Build Up (2)'!L8</f>
        <v>224532</v>
      </c>
      <c r="W5" s="565">
        <v>60399</v>
      </c>
    </row>
    <row r="6" spans="2:23" ht="15" customHeight="1">
      <c r="B6" s="568" t="s">
        <v>360</v>
      </c>
      <c r="C6" s="565">
        <v>6869</v>
      </c>
      <c r="D6" s="565">
        <v>7340</v>
      </c>
      <c r="E6" s="565">
        <v>7071</v>
      </c>
      <c r="F6" s="566">
        <f>G6-SUM(C6:E6)</f>
        <v>7963</v>
      </c>
      <c r="G6" s="567">
        <f>'Build Up (2)'!I11</f>
        <v>29243</v>
      </c>
      <c r="H6" s="565">
        <v>6693</v>
      </c>
      <c r="I6" s="565">
        <v>7665</v>
      </c>
      <c r="J6" s="565">
        <v>7952</v>
      </c>
      <c r="K6" s="566">
        <f>L6-SUM(H6:J6)</f>
        <v>9200</v>
      </c>
      <c r="L6" s="567">
        <f>'Build Up (2)'!J11</f>
        <v>31510</v>
      </c>
      <c r="M6" s="565">
        <v>8090</v>
      </c>
      <c r="N6" s="565">
        <v>8663</v>
      </c>
      <c r="O6" s="565">
        <v>8921</v>
      </c>
      <c r="P6" s="566">
        <f>Q6-SUM(M6:O6)</f>
        <v>10473</v>
      </c>
      <c r="Q6" s="567">
        <f>'Build Up (2)'!K11</f>
        <v>36147</v>
      </c>
      <c r="R6" s="565">
        <v>8927</v>
      </c>
      <c r="S6" s="565">
        <v>9796</v>
      </c>
      <c r="T6" s="565">
        <v>10261</v>
      </c>
      <c r="U6" s="566">
        <f>V6-SUM(R6:T6)</f>
        <v>11383</v>
      </c>
      <c r="V6" s="567">
        <f>'Build Up (2)'!L11</f>
        <v>40367</v>
      </c>
      <c r="W6" s="565">
        <v>9883</v>
      </c>
    </row>
    <row r="7" spans="2:23" ht="15" customHeight="1">
      <c r="B7" s="568" t="s">
        <v>226</v>
      </c>
      <c r="C7" s="565">
        <v>8174</v>
      </c>
      <c r="D7" s="565">
        <v>8259</v>
      </c>
      <c r="E7" s="565">
        <v>7872</v>
      </c>
      <c r="F7" s="566">
        <f>G7-SUM(C7:E7)</f>
        <v>8475</v>
      </c>
      <c r="G7" s="567">
        <f>'Build Up (2)'!I14</f>
        <v>32780</v>
      </c>
      <c r="H7" s="565">
        <v>7496</v>
      </c>
      <c r="I7" s="565">
        <v>7850</v>
      </c>
      <c r="J7" s="565">
        <v>7669</v>
      </c>
      <c r="K7" s="566">
        <f>L7-SUM(H7:J7)</f>
        <v>8297</v>
      </c>
      <c r="L7" s="567">
        <f>'Build Up (2)'!J14</f>
        <v>31312</v>
      </c>
      <c r="M7" s="565">
        <v>7413</v>
      </c>
      <c r="N7" s="565">
        <v>7444</v>
      </c>
      <c r="O7" s="565">
        <v>7548</v>
      </c>
      <c r="P7" s="566">
        <f>Q7-SUM(M7:O7)</f>
        <v>7954</v>
      </c>
      <c r="Q7" s="567">
        <f>'Build Up (2)'!K14</f>
        <v>30359</v>
      </c>
      <c r="R7" s="565">
        <v>7256</v>
      </c>
      <c r="S7" s="565">
        <v>7354</v>
      </c>
      <c r="T7" s="565">
        <v>7354</v>
      </c>
      <c r="U7" s="566">
        <f>V7-SUM(R7:T7)</f>
        <v>7828</v>
      </c>
      <c r="V7" s="567">
        <f>'Build Up (2)'!L14</f>
        <v>29792</v>
      </c>
      <c r="W7" s="565">
        <v>6971</v>
      </c>
    </row>
    <row r="8" spans="2:23" ht="15" customHeight="1">
      <c r="B8" s="568" t="s">
        <v>361</v>
      </c>
      <c r="C8" s="565">
        <v>6811</v>
      </c>
      <c r="D8" s="565">
        <v>6553</v>
      </c>
      <c r="E8" s="565">
        <v>6895</v>
      </c>
      <c r="F8" s="566">
        <f>G8-SUM(C8:E8)</f>
        <v>8796</v>
      </c>
      <c r="G8" s="567">
        <f>'Build Up (2)'!I17</f>
        <v>29055</v>
      </c>
      <c r="H8" s="565">
        <v>7413</v>
      </c>
      <c r="I8" s="565">
        <v>8142</v>
      </c>
      <c r="J8" s="565">
        <v>8339</v>
      </c>
      <c r="K8" s="566">
        <f>L8-SUM(H8:J8)</f>
        <v>10794</v>
      </c>
      <c r="L8" s="567">
        <f>'Build Up (2)'!J17</f>
        <v>34688</v>
      </c>
      <c r="M8" s="565">
        <v>8739</v>
      </c>
      <c r="N8" s="565">
        <v>9312</v>
      </c>
      <c r="O8" s="565">
        <v>10656</v>
      </c>
      <c r="P8" s="566">
        <f>Q8-SUM(M8:O8)</f>
        <v>11633</v>
      </c>
      <c r="Q8" s="567">
        <f>'Build Up (2)'!K17</f>
        <v>40340</v>
      </c>
      <c r="R8" s="565">
        <v>10379</v>
      </c>
      <c r="S8" s="565">
        <v>11203</v>
      </c>
      <c r="T8" s="565">
        <v>12870</v>
      </c>
      <c r="U8" s="566">
        <f>V8-SUM(R8:T8)</f>
        <v>13578</v>
      </c>
      <c r="V8" s="567">
        <f>'Build Up (2)'!L17</f>
        <v>48030</v>
      </c>
      <c r="W8" s="565">
        <v>12384</v>
      </c>
    </row>
    <row r="9" spans="2:23" ht="15" customHeight="1">
      <c r="B9" s="564" t="s">
        <v>228</v>
      </c>
      <c r="C9" s="566">
        <f t="shared" ref="C9:W9" si="0">SUM(C5:C8)</f>
        <v>61472</v>
      </c>
      <c r="D9" s="566">
        <f t="shared" si="0"/>
        <v>62841</v>
      </c>
      <c r="E9" s="566">
        <f t="shared" si="0"/>
        <v>61377</v>
      </c>
      <c r="F9" s="566">
        <f t="shared" si="0"/>
        <v>67838</v>
      </c>
      <c r="G9" s="566">
        <f t="shared" si="0"/>
        <v>253528</v>
      </c>
      <c r="H9" s="566">
        <f t="shared" si="0"/>
        <v>61961</v>
      </c>
      <c r="I9" s="566">
        <f t="shared" si="0"/>
        <v>66285</v>
      </c>
      <c r="J9" s="566">
        <f t="shared" si="0"/>
        <v>67986</v>
      </c>
      <c r="K9" s="566">
        <f t="shared" si="0"/>
        <v>76311</v>
      </c>
      <c r="L9" s="566">
        <f t="shared" si="0"/>
        <v>272543</v>
      </c>
      <c r="M9" s="566">
        <f t="shared" si="0"/>
        <v>70398</v>
      </c>
      <c r="N9" s="566">
        <f t="shared" si="0"/>
        <v>73928</v>
      </c>
      <c r="O9" s="566">
        <f t="shared" si="0"/>
        <v>76510</v>
      </c>
      <c r="P9" s="566">
        <f t="shared" si="0"/>
        <v>84094</v>
      </c>
      <c r="Q9" s="566">
        <f t="shared" si="0"/>
        <v>304930</v>
      </c>
      <c r="R9" s="566">
        <f t="shared" si="0"/>
        <v>77264</v>
      </c>
      <c r="S9" s="566">
        <f t="shared" si="0"/>
        <v>82543</v>
      </c>
      <c r="T9" s="566">
        <f t="shared" si="0"/>
        <v>87052</v>
      </c>
      <c r="U9" s="566">
        <f t="shared" si="0"/>
        <v>95862</v>
      </c>
      <c r="V9" s="566">
        <f t="shared" si="0"/>
        <v>342721</v>
      </c>
      <c r="W9" s="566">
        <f t="shared" si="0"/>
        <v>89637</v>
      </c>
    </row>
    <row r="10" spans="2:23" ht="15" customHeight="1">
      <c r="B10" s="568" t="s">
        <v>234</v>
      </c>
      <c r="C10" s="565">
        <v>5821</v>
      </c>
      <c r="D10" s="565">
        <v>6276</v>
      </c>
      <c r="E10" s="565">
        <v>6868</v>
      </c>
      <c r="F10" s="566">
        <f>G10-SUM(C10:E10)</f>
        <v>7315</v>
      </c>
      <c r="G10" s="567">
        <f>'Build Up (2)'!I22</f>
        <v>26280</v>
      </c>
      <c r="H10" s="565">
        <v>7454</v>
      </c>
      <c r="I10" s="565">
        <v>8031</v>
      </c>
      <c r="J10" s="565">
        <v>8411</v>
      </c>
      <c r="K10" s="566">
        <f>L10-SUM(H10:J10)</f>
        <v>9192</v>
      </c>
      <c r="L10" s="567">
        <f>'Build Up (2)'!J22</f>
        <v>33088</v>
      </c>
      <c r="M10" s="565">
        <v>9574</v>
      </c>
      <c r="N10" s="565">
        <v>10347</v>
      </c>
      <c r="O10" s="565">
        <v>11353</v>
      </c>
      <c r="P10" s="566">
        <f>Q10-SUM(M10:O10)</f>
        <v>11955</v>
      </c>
      <c r="Q10" s="567">
        <f>'Build Up (2)'!K22</f>
        <v>43229</v>
      </c>
      <c r="R10" s="565">
        <v>12260</v>
      </c>
      <c r="S10" s="565">
        <v>13624</v>
      </c>
      <c r="T10" s="565">
        <v>15157</v>
      </c>
      <c r="U10" s="566">
        <f>V10-SUM(R10:T10)</f>
        <v>17664</v>
      </c>
      <c r="V10" s="567">
        <f>'Build Up (2)'!L22</f>
        <v>58705</v>
      </c>
      <c r="W10" s="565">
        <v>20028</v>
      </c>
    </row>
    <row r="11" spans="2:23" ht="15" customHeight="1">
      <c r="B11" s="568" t="s">
        <v>230</v>
      </c>
      <c r="C11" s="565">
        <v>440</v>
      </c>
      <c r="D11" s="565">
        <v>193</v>
      </c>
      <c r="E11" s="565">
        <v>209</v>
      </c>
      <c r="F11" s="566">
        <f>G11-SUM(C11:E11)</f>
        <v>226</v>
      </c>
      <c r="G11" s="567">
        <f>'Build Up (2)'!I27</f>
        <v>1068</v>
      </c>
      <c r="H11" s="565">
        <v>288</v>
      </c>
      <c r="I11" s="565">
        <v>285</v>
      </c>
      <c r="J11" s="565">
        <v>297</v>
      </c>
      <c r="K11" s="566">
        <f>L11-SUM(H11:J11)</f>
        <v>657</v>
      </c>
      <c r="L11" s="567">
        <f>'Build Up (2)'!J27</f>
        <v>1527</v>
      </c>
      <c r="M11" s="565">
        <v>495</v>
      </c>
      <c r="N11" s="565">
        <v>365</v>
      </c>
      <c r="O11" s="565">
        <v>388</v>
      </c>
      <c r="P11" s="566">
        <f>Q11-SUM(M11:O11)</f>
        <v>400</v>
      </c>
      <c r="Q11" s="567">
        <f>'Build Up (2)'!K27</f>
        <v>1648</v>
      </c>
      <c r="R11" s="565">
        <v>450</v>
      </c>
      <c r="S11" s="565">
        <v>373</v>
      </c>
      <c r="T11" s="565">
        <v>344</v>
      </c>
      <c r="U11" s="566">
        <f>V11-SUM(R11:T11)</f>
        <v>370</v>
      </c>
      <c r="V11" s="567">
        <f>'Build Up (2)'!L27</f>
        <v>1537</v>
      </c>
      <c r="W11" s="565">
        <v>411</v>
      </c>
    </row>
    <row r="12" spans="2:23" ht="15" customHeight="1">
      <c r="B12" s="568" t="s">
        <v>362</v>
      </c>
      <c r="C12" s="565">
        <v>278</v>
      </c>
      <c r="D12" s="565">
        <v>375</v>
      </c>
      <c r="E12" s="565">
        <v>638</v>
      </c>
      <c r="F12" s="566">
        <f>G12-SUM(C12:E12)</f>
        <v>669</v>
      </c>
      <c r="G12" s="567">
        <f>'Build Up (2)'!I30</f>
        <v>1960</v>
      </c>
      <c r="H12" s="565">
        <v>84</v>
      </c>
      <c r="I12" s="565">
        <v>3</v>
      </c>
      <c r="J12" s="565">
        <v>-1</v>
      </c>
      <c r="K12" s="566">
        <f>L12-SUM(H12:J12)</f>
        <v>150</v>
      </c>
      <c r="L12" s="567">
        <f>'Build Up (2)'!J30</f>
        <v>236</v>
      </c>
      <c r="M12" s="565">
        <v>72</v>
      </c>
      <c r="N12" s="565">
        <v>102</v>
      </c>
      <c r="O12" s="565">
        <v>17</v>
      </c>
      <c r="P12" s="566">
        <f>Q12-SUM(M12:O12)</f>
        <v>20</v>
      </c>
      <c r="Q12" s="567">
        <f>'Build Up (2)'!K30</f>
        <v>211</v>
      </c>
      <c r="R12" s="565">
        <v>260</v>
      </c>
      <c r="S12" s="565">
        <v>-112</v>
      </c>
      <c r="T12" s="565">
        <v>-207</v>
      </c>
      <c r="U12" s="566">
        <f>V12-SUM(R12:T12)</f>
        <v>-68</v>
      </c>
      <c r="V12" s="567">
        <f>'Build Up (2)'!L30</f>
        <v>-127</v>
      </c>
      <c r="W12" s="565">
        <v>-180</v>
      </c>
    </row>
    <row r="13" spans="2:23" ht="15" customHeight="1">
      <c r="B13" s="564" t="s">
        <v>363</v>
      </c>
      <c r="C13" s="566">
        <f t="shared" ref="C13:W13" si="1">C9+C10+C11+C12</f>
        <v>68011</v>
      </c>
      <c r="D13" s="566">
        <f t="shared" si="1"/>
        <v>69685</v>
      </c>
      <c r="E13" s="566">
        <f t="shared" si="1"/>
        <v>69092</v>
      </c>
      <c r="F13" s="566">
        <f t="shared" si="1"/>
        <v>76048</v>
      </c>
      <c r="G13" s="566">
        <f t="shared" si="1"/>
        <v>282836</v>
      </c>
      <c r="H13" s="566">
        <f t="shared" si="1"/>
        <v>69787</v>
      </c>
      <c r="I13" s="566">
        <f t="shared" si="1"/>
        <v>74604</v>
      </c>
      <c r="J13" s="566">
        <f t="shared" si="1"/>
        <v>76693</v>
      </c>
      <c r="K13" s="566">
        <f t="shared" si="1"/>
        <v>86310</v>
      </c>
      <c r="L13" s="566">
        <f t="shared" si="1"/>
        <v>307394</v>
      </c>
      <c r="M13" s="566">
        <f t="shared" si="1"/>
        <v>80539</v>
      </c>
      <c r="N13" s="566">
        <f t="shared" si="1"/>
        <v>84742</v>
      </c>
      <c r="O13" s="566">
        <f t="shared" si="1"/>
        <v>88268</v>
      </c>
      <c r="P13" s="566">
        <f t="shared" si="1"/>
        <v>96469</v>
      </c>
      <c r="Q13" s="566">
        <f t="shared" si="1"/>
        <v>350018</v>
      </c>
      <c r="R13" s="566">
        <f t="shared" si="1"/>
        <v>90234</v>
      </c>
      <c r="S13" s="566">
        <f t="shared" si="1"/>
        <v>96428</v>
      </c>
      <c r="T13" s="566">
        <f t="shared" si="1"/>
        <v>102346</v>
      </c>
      <c r="U13" s="566">
        <f t="shared" si="1"/>
        <v>113828</v>
      </c>
      <c r="V13" s="566">
        <f t="shared" si="1"/>
        <v>402836</v>
      </c>
      <c r="W13" s="566">
        <f t="shared" si="1"/>
        <v>109896</v>
      </c>
    </row>
    <row r="15" spans="2:23" ht="15" customHeight="1">
      <c r="B15" s="564" t="s">
        <v>364</v>
      </c>
    </row>
    <row r="16" spans="2:23" ht="15" customHeight="1">
      <c r="B16" s="568" t="s">
        <v>365</v>
      </c>
      <c r="C16" s="565">
        <v>21973</v>
      </c>
      <c r="D16" s="565">
        <v>21621</v>
      </c>
      <c r="E16" s="565">
        <v>18883</v>
      </c>
      <c r="F16" s="566">
        <f>G16-SUM(C16:E16)</f>
        <v>20222</v>
      </c>
      <c r="G16" s="567">
        <f>'Build Up (2)'!I37</f>
        <v>82699</v>
      </c>
      <c r="H16" s="565">
        <v>21737</v>
      </c>
      <c r="I16" s="565">
        <v>23454</v>
      </c>
      <c r="J16" s="565">
        <v>23937</v>
      </c>
      <c r="K16" s="566">
        <f>L16-SUM(H16:J16)</f>
        <v>26730</v>
      </c>
      <c r="L16" s="567">
        <f>'Build Up (2)'!J37</f>
        <v>95858</v>
      </c>
      <c r="M16" s="565">
        <v>27897</v>
      </c>
      <c r="N16" s="565">
        <v>29674</v>
      </c>
      <c r="O16" s="565">
        <v>30856</v>
      </c>
      <c r="P16" s="566">
        <f>Q16-SUM(M16:O16)</f>
        <v>32836</v>
      </c>
      <c r="Q16" s="567">
        <f>'Build Up (2)'!K37</f>
        <v>121263</v>
      </c>
      <c r="R16" s="565">
        <v>32682</v>
      </c>
      <c r="S16" s="565">
        <v>33063</v>
      </c>
      <c r="T16" s="565">
        <v>33527</v>
      </c>
      <c r="U16" s="566">
        <f>V16-SUM(R16:T16)</f>
        <v>40132</v>
      </c>
      <c r="V16" s="567">
        <f>'Build Up (2)'!L37</f>
        <v>139404</v>
      </c>
      <c r="W16" s="565">
        <v>40589</v>
      </c>
    </row>
    <row r="17" spans="2:23" ht="15" customHeight="1">
      <c r="B17" s="568" t="s">
        <v>366</v>
      </c>
      <c r="C17" s="569">
        <f t="shared" ref="C17:W17" si="2">IF(C9=0,0,C16/C9)</f>
        <v>0.35744729307652262</v>
      </c>
      <c r="D17" s="569">
        <f t="shared" si="2"/>
        <v>0.34405881510478825</v>
      </c>
      <c r="E17" s="569">
        <f t="shared" si="2"/>
        <v>0.30765596233116638</v>
      </c>
      <c r="F17" s="569">
        <f t="shared" si="2"/>
        <v>0.29809251451988561</v>
      </c>
      <c r="G17" s="569">
        <f t="shared" si="2"/>
        <v>0.32619276766274335</v>
      </c>
      <c r="H17" s="569">
        <f t="shared" si="2"/>
        <v>0.35081744968609285</v>
      </c>
      <c r="I17" s="569">
        <f t="shared" si="2"/>
        <v>0.35383570943652409</v>
      </c>
      <c r="J17" s="569">
        <f t="shared" si="2"/>
        <v>0.35208719442238107</v>
      </c>
      <c r="K17" s="569">
        <f t="shared" si="2"/>
        <v>0.35027715532492038</v>
      </c>
      <c r="L17" s="569">
        <f t="shared" si="2"/>
        <v>0.35171697677063801</v>
      </c>
      <c r="M17" s="569">
        <f t="shared" si="2"/>
        <v>0.39627546237109007</v>
      </c>
      <c r="N17" s="569">
        <f t="shared" si="2"/>
        <v>0.40139054214911807</v>
      </c>
      <c r="O17" s="569">
        <f t="shared" si="2"/>
        <v>0.40329368709972552</v>
      </c>
      <c r="P17" s="569">
        <f t="shared" si="2"/>
        <v>0.39046780983185481</v>
      </c>
      <c r="Q17" s="569">
        <f t="shared" si="2"/>
        <v>0.39767487620109532</v>
      </c>
      <c r="R17" s="569">
        <f t="shared" si="2"/>
        <v>0.4229913025471112</v>
      </c>
      <c r="S17" s="569">
        <f t="shared" si="2"/>
        <v>0.40055486231418774</v>
      </c>
      <c r="T17" s="569">
        <f t="shared" si="2"/>
        <v>0.38513761889445391</v>
      </c>
      <c r="U17" s="569">
        <f t="shared" si="2"/>
        <v>0.41864346664997598</v>
      </c>
      <c r="V17" s="569">
        <f t="shared" si="2"/>
        <v>0.40675651623332099</v>
      </c>
      <c r="W17" s="569">
        <f t="shared" si="2"/>
        <v>0.4528152437051664</v>
      </c>
    </row>
    <row r="18" spans="2:23" ht="15" customHeight="1">
      <c r="B18" s="568" t="s">
        <v>367</v>
      </c>
      <c r="C18" s="565">
        <v>-706</v>
      </c>
      <c r="D18" s="565">
        <v>-590</v>
      </c>
      <c r="E18" s="565">
        <v>-440</v>
      </c>
      <c r="F18" s="566">
        <f>G18-SUM(C18:E18)</f>
        <v>-186</v>
      </c>
      <c r="G18" s="567">
        <f>'Build Up (2)'!I40</f>
        <v>-1922</v>
      </c>
      <c r="H18" s="565">
        <v>191</v>
      </c>
      <c r="I18" s="565">
        <v>395</v>
      </c>
      <c r="J18" s="565">
        <v>266</v>
      </c>
      <c r="K18" s="566">
        <f>L18-SUM(H18:J18)</f>
        <v>864</v>
      </c>
      <c r="L18" s="567">
        <f>'Build Up (2)'!J40</f>
        <v>1716</v>
      </c>
      <c r="M18" s="565">
        <v>900</v>
      </c>
      <c r="N18" s="565">
        <v>1172</v>
      </c>
      <c r="O18" s="565">
        <v>1947</v>
      </c>
      <c r="P18" s="566">
        <f>Q18-SUM(M18:O18)</f>
        <v>2093</v>
      </c>
      <c r="Q18" s="567">
        <f>'Build Up (2)'!K40</f>
        <v>6112</v>
      </c>
      <c r="R18" s="565">
        <v>2177</v>
      </c>
      <c r="S18" s="565">
        <v>2826</v>
      </c>
      <c r="T18" s="565">
        <v>3594</v>
      </c>
      <c r="U18" s="566">
        <f>V18-SUM(R18:T18)</f>
        <v>5313</v>
      </c>
      <c r="V18" s="567">
        <f>'Build Up (2)'!L40</f>
        <v>13910</v>
      </c>
      <c r="W18" s="565">
        <v>6598</v>
      </c>
    </row>
    <row r="19" spans="2:23" ht="15" customHeight="1">
      <c r="B19" s="568" t="s">
        <v>366</v>
      </c>
      <c r="C19" s="569">
        <f t="shared" ref="C19:W19" si="3">IF(C10=0,0,C18/C10)</f>
        <v>-0.12128500257687683</v>
      </c>
      <c r="D19" s="569">
        <f t="shared" si="3"/>
        <v>-9.4008922880815804E-2</v>
      </c>
      <c r="E19" s="569">
        <f t="shared" si="3"/>
        <v>-6.4065230052417002E-2</v>
      </c>
      <c r="F19" s="569">
        <f t="shared" si="3"/>
        <v>-2.5427204374572795E-2</v>
      </c>
      <c r="G19" s="569">
        <f t="shared" si="3"/>
        <v>-7.3135464231354641E-2</v>
      </c>
      <c r="H19" s="569">
        <f t="shared" si="3"/>
        <v>2.5623826133619534E-2</v>
      </c>
      <c r="I19" s="569">
        <f t="shared" si="3"/>
        <v>4.9184410409662559E-2</v>
      </c>
      <c r="J19" s="569">
        <f t="shared" si="3"/>
        <v>3.1625252645345381E-2</v>
      </c>
      <c r="K19" s="569">
        <f t="shared" si="3"/>
        <v>9.3994778067885115E-2</v>
      </c>
      <c r="L19" s="569">
        <f t="shared" si="3"/>
        <v>5.1861702127659573E-2</v>
      </c>
      <c r="M19" s="569">
        <f t="shared" si="3"/>
        <v>9.4004595780238148E-2</v>
      </c>
      <c r="N19" s="569">
        <f t="shared" si="3"/>
        <v>0.11326954672852034</v>
      </c>
      <c r="O19" s="569">
        <f t="shared" si="3"/>
        <v>0.17149652074341584</v>
      </c>
      <c r="P19" s="569">
        <f t="shared" si="3"/>
        <v>0.17507319113341699</v>
      </c>
      <c r="Q19" s="569">
        <f t="shared" si="3"/>
        <v>0.14138656920123066</v>
      </c>
      <c r="R19" s="569">
        <f t="shared" si="3"/>
        <v>0.17756933115823817</v>
      </c>
      <c r="S19" s="569">
        <f t="shared" si="3"/>
        <v>0.20742806811509101</v>
      </c>
      <c r="T19" s="569">
        <f t="shared" si="3"/>
        <v>0.23711816322491258</v>
      </c>
      <c r="U19" s="569">
        <f t="shared" si="3"/>
        <v>0.30078125</v>
      </c>
      <c r="V19" s="569">
        <f t="shared" si="3"/>
        <v>0.23694744910995658</v>
      </c>
      <c r="W19" s="569">
        <f t="shared" si="3"/>
        <v>0.32943878570002</v>
      </c>
    </row>
    <row r="20" spans="2:23" ht="15" customHeight="1">
      <c r="B20" s="568" t="s">
        <v>368</v>
      </c>
      <c r="C20" s="565">
        <v>-835</v>
      </c>
      <c r="D20" s="565">
        <v>-1339</v>
      </c>
      <c r="E20" s="565">
        <v>-1225</v>
      </c>
      <c r="F20" s="566">
        <f>G20-SUM(C20:E20)</f>
        <v>-1237</v>
      </c>
      <c r="G20" s="567">
        <f>'Build Up (2)'!I43</f>
        <v>-4636</v>
      </c>
      <c r="H20" s="565">
        <v>-1225</v>
      </c>
      <c r="I20" s="565">
        <v>-813</v>
      </c>
      <c r="J20" s="565">
        <v>-1194</v>
      </c>
      <c r="K20" s="566">
        <f>L20-SUM(H20:J20)</f>
        <v>-863</v>
      </c>
      <c r="L20" s="567">
        <f>'Build Up (2)'!J43</f>
        <v>-4095</v>
      </c>
      <c r="M20" s="565">
        <v>-1020</v>
      </c>
      <c r="N20" s="565">
        <v>-1134</v>
      </c>
      <c r="O20" s="565">
        <v>-1116</v>
      </c>
      <c r="P20" s="566">
        <f>Q20-SUM(M20:O20)</f>
        <v>-1174</v>
      </c>
      <c r="Q20" s="567">
        <f>'Build Up (2)'!K43</f>
        <v>-4444</v>
      </c>
      <c r="R20" s="565">
        <v>-1226</v>
      </c>
      <c r="S20" s="565">
        <v>-1246</v>
      </c>
      <c r="T20" s="565">
        <v>-1426</v>
      </c>
      <c r="U20" s="566">
        <f>V20-SUM(R20:T20)</f>
        <v>-3617</v>
      </c>
      <c r="V20" s="567">
        <f>'Build Up (2)'!L43</f>
        <v>-7515</v>
      </c>
      <c r="W20" s="565">
        <v>-2100</v>
      </c>
    </row>
    <row r="21" spans="2:23" ht="15" customHeight="1">
      <c r="B21" s="568" t="s">
        <v>369</v>
      </c>
      <c r="C21" s="565">
        <v>-338</v>
      </c>
      <c r="D21" s="565">
        <v>-239</v>
      </c>
      <c r="E21" s="565">
        <v>-83</v>
      </c>
      <c r="F21" s="566">
        <f>G21-SUM(C21:E21)</f>
        <v>-639</v>
      </c>
      <c r="G21" s="567">
        <f>'Build Up (2)'!I47</f>
        <v>-1299</v>
      </c>
      <c r="H21" s="565">
        <v>-3288</v>
      </c>
      <c r="I21" s="565">
        <v>-1198</v>
      </c>
      <c r="J21" s="565">
        <v>-1666</v>
      </c>
      <c r="K21" s="566">
        <f>L21-SUM(H21:J21)</f>
        <v>-3034</v>
      </c>
      <c r="L21" s="567">
        <f>'Build Up (2)'!J47</f>
        <v>-9186</v>
      </c>
      <c r="M21" s="565">
        <v>-2305</v>
      </c>
      <c r="N21" s="565">
        <v>-2287</v>
      </c>
      <c r="O21" s="565">
        <v>-3166</v>
      </c>
      <c r="P21" s="566">
        <f>Q21-SUM(M21:O21)</f>
        <v>-2783</v>
      </c>
      <c r="Q21" s="567">
        <f>'Build Up (2)'!K47</f>
        <v>-10541</v>
      </c>
      <c r="R21" s="565">
        <v>-3027</v>
      </c>
      <c r="S21" s="565">
        <v>-3372</v>
      </c>
      <c r="T21" s="565">
        <v>-4467</v>
      </c>
      <c r="U21" s="566">
        <f>V21-SUM(R21:T21)</f>
        <v>-5894</v>
      </c>
      <c r="V21" s="567">
        <f>'Build Up (2)'!L47</f>
        <v>-16760</v>
      </c>
      <c r="W21" s="565">
        <v>-5391</v>
      </c>
    </row>
    <row r="22" spans="2:23" ht="15" customHeight="1">
      <c r="B22" s="564" t="s">
        <v>370</v>
      </c>
      <c r="C22" s="566">
        <f t="shared" ref="C22:W22" si="4">C16+C18+C20+C21</f>
        <v>20094</v>
      </c>
      <c r="D22" s="566">
        <f t="shared" si="4"/>
        <v>19453</v>
      </c>
      <c r="E22" s="566">
        <f t="shared" si="4"/>
        <v>17135</v>
      </c>
      <c r="F22" s="566">
        <f t="shared" si="4"/>
        <v>18160</v>
      </c>
      <c r="G22" s="566">
        <f t="shared" si="4"/>
        <v>74842</v>
      </c>
      <c r="H22" s="566">
        <f t="shared" si="4"/>
        <v>17415</v>
      </c>
      <c r="I22" s="566">
        <f t="shared" si="4"/>
        <v>21838</v>
      </c>
      <c r="J22" s="566">
        <f t="shared" si="4"/>
        <v>21343</v>
      </c>
      <c r="K22" s="566">
        <f t="shared" si="4"/>
        <v>23697</v>
      </c>
      <c r="L22" s="566">
        <f t="shared" si="4"/>
        <v>84293</v>
      </c>
      <c r="M22" s="566">
        <f t="shared" si="4"/>
        <v>25472</v>
      </c>
      <c r="N22" s="566">
        <f t="shared" si="4"/>
        <v>27425</v>
      </c>
      <c r="O22" s="566">
        <f t="shared" si="4"/>
        <v>28521</v>
      </c>
      <c r="P22" s="566">
        <f t="shared" si="4"/>
        <v>30972</v>
      </c>
      <c r="Q22" s="566">
        <f t="shared" si="4"/>
        <v>112390</v>
      </c>
      <c r="R22" s="566">
        <f t="shared" si="4"/>
        <v>30606</v>
      </c>
      <c r="S22" s="566">
        <f t="shared" si="4"/>
        <v>31271</v>
      </c>
      <c r="T22" s="566">
        <f t="shared" si="4"/>
        <v>31228</v>
      </c>
      <c r="U22" s="566">
        <f t="shared" si="4"/>
        <v>35934</v>
      </c>
      <c r="V22" s="566">
        <f t="shared" si="4"/>
        <v>129039</v>
      </c>
      <c r="W22" s="566">
        <f t="shared" si="4"/>
        <v>39696</v>
      </c>
    </row>
    <row r="23" spans="2:23" ht="15" customHeight="1">
      <c r="B23" s="568" t="s">
        <v>371</v>
      </c>
      <c r="C23" s="569">
        <f t="shared" ref="C23:W23" si="5">IF(C13=0,0,C22/C13)</f>
        <v>0.29545220626075192</v>
      </c>
      <c r="D23" s="569">
        <f t="shared" si="5"/>
        <v>0.279156202913109</v>
      </c>
      <c r="E23" s="569">
        <f t="shared" si="5"/>
        <v>0.24800266311584554</v>
      </c>
      <c r="F23" s="569">
        <f t="shared" si="5"/>
        <v>0.23879654954765411</v>
      </c>
      <c r="G23" s="569">
        <f t="shared" si="5"/>
        <v>0.26461270842467011</v>
      </c>
      <c r="H23" s="569">
        <f t="shared" si="5"/>
        <v>0.24954504420594092</v>
      </c>
      <c r="I23" s="569">
        <f t="shared" si="5"/>
        <v>0.29271888906761029</v>
      </c>
      <c r="J23" s="569">
        <f t="shared" si="5"/>
        <v>0.27829136948613303</v>
      </c>
      <c r="K23" s="569">
        <f t="shared" si="5"/>
        <v>0.27455683003128256</v>
      </c>
      <c r="L23" s="569">
        <f t="shared" si="5"/>
        <v>0.27421810445226646</v>
      </c>
      <c r="M23" s="569">
        <f t="shared" si="5"/>
        <v>0.31626913669154072</v>
      </c>
      <c r="N23" s="569">
        <f t="shared" si="5"/>
        <v>0.32362936914398999</v>
      </c>
      <c r="O23" s="569">
        <f t="shared" si="5"/>
        <v>0.32311823084243441</v>
      </c>
      <c r="P23" s="569">
        <f t="shared" si="5"/>
        <v>0.32105650519856122</v>
      </c>
      <c r="Q23" s="569">
        <f t="shared" si="5"/>
        <v>0.32109777211457696</v>
      </c>
      <c r="R23" s="569">
        <f t="shared" si="5"/>
        <v>0.33918478622248821</v>
      </c>
      <c r="S23" s="569">
        <f t="shared" si="5"/>
        <v>0.32429377359273243</v>
      </c>
      <c r="T23" s="569">
        <f t="shared" si="5"/>
        <v>0.30512184159615424</v>
      </c>
      <c r="U23" s="569">
        <f t="shared" si="5"/>
        <v>0.31568682573707701</v>
      </c>
      <c r="V23" s="569">
        <f t="shared" si="5"/>
        <v>0.32032638592380025</v>
      </c>
      <c r="W23" s="569">
        <f t="shared" si="5"/>
        <v>0.36121423891679405</v>
      </c>
    </row>
    <row r="25" spans="2:23" ht="15" customHeight="1">
      <c r="B25" s="564" t="s">
        <v>235</v>
      </c>
    </row>
    <row r="26" spans="2:23" ht="15" customHeight="1">
      <c r="B26" s="568" t="s">
        <v>372</v>
      </c>
      <c r="C26" s="567">
        <f>'Q - Income Statement'!C7</f>
        <v>29599</v>
      </c>
      <c r="D26" s="567">
        <f>'Q - Income Statement'!D7</f>
        <v>30104</v>
      </c>
      <c r="E26" s="567">
        <f>'Q - Income Statement'!E7</f>
        <v>31158</v>
      </c>
      <c r="F26" s="567">
        <f>'Q - Income Statement'!F7</f>
        <v>35342</v>
      </c>
      <c r="G26" s="567">
        <f>'Q - Income Statement'!G7</f>
        <v>126203</v>
      </c>
      <c r="H26" s="567">
        <f>'Q - Income Statement'!H7</f>
        <v>30612</v>
      </c>
      <c r="I26" s="567">
        <f>'Q - Income Statement'!I7</f>
        <v>31916</v>
      </c>
      <c r="J26" s="567">
        <f>'Q - Income Statement'!J7</f>
        <v>33229</v>
      </c>
      <c r="K26" s="567">
        <f>'Q - Income Statement'!K7</f>
        <v>37575</v>
      </c>
      <c r="L26" s="567">
        <f>'Q - Income Statement'!L7</f>
        <v>133332</v>
      </c>
      <c r="M26" s="567">
        <f>'Q - Income Statement'!M7</f>
        <v>33712</v>
      </c>
      <c r="N26" s="567">
        <f>'Q - Income Statement'!N7</f>
        <v>35507</v>
      </c>
      <c r="O26" s="567">
        <f>'Q - Income Statement'!O7</f>
        <v>36474</v>
      </c>
      <c r="P26" s="567">
        <f>'Q - Income Statement'!P7</f>
        <v>40613</v>
      </c>
      <c r="Q26" s="567">
        <f>'Q - Income Statement'!Q7</f>
        <v>146306</v>
      </c>
      <c r="R26" s="567">
        <f>'Q - Income Statement'!R7</f>
        <v>36361</v>
      </c>
      <c r="S26" s="567">
        <f>'Q - Income Statement'!S7</f>
        <v>39039</v>
      </c>
      <c r="T26" s="567">
        <f>'Q - Income Statement'!T7</f>
        <v>41369</v>
      </c>
      <c r="U26" s="567">
        <f>'Q - Income Statement'!U7</f>
        <v>45766</v>
      </c>
      <c r="V26" s="567">
        <f>'Q - Income Statement'!V7</f>
        <v>162535</v>
      </c>
      <c r="W26" s="567">
        <f>'Q - Income Statement'!W7</f>
        <v>41271</v>
      </c>
    </row>
    <row r="27" spans="2:23" ht="15" customHeight="1">
      <c r="B27" s="568" t="s">
        <v>373</v>
      </c>
      <c r="C27" s="567">
        <f>'Q - Income Statement'!C9</f>
        <v>18318</v>
      </c>
      <c r="D27" s="567">
        <f>'Q - Income Statement'!D9</f>
        <v>20128</v>
      </c>
      <c r="E27" s="567">
        <f>'Q - Income Statement'!E9</f>
        <v>20799</v>
      </c>
      <c r="F27" s="567">
        <f>'Q - Income Statement'!F9</f>
        <v>22546</v>
      </c>
      <c r="G27" s="567">
        <f>'Q - Income Statement'!G9</f>
        <v>81791</v>
      </c>
      <c r="H27" s="567">
        <f>'Q - Income Statement'!H9</f>
        <v>21760</v>
      </c>
      <c r="I27" s="567">
        <f>'Q - Income Statement'!I9</f>
        <v>20850</v>
      </c>
      <c r="J27" s="567">
        <f>'Q - Income Statement'!J9</f>
        <v>22121</v>
      </c>
      <c r="K27" s="567">
        <f>'Q - Income Statement'!K9</f>
        <v>25038</v>
      </c>
      <c r="L27" s="567">
        <f>'Q - Income Statement'!L9</f>
        <v>89769</v>
      </c>
      <c r="M27" s="567">
        <f>'Q - Income Statement'!M9</f>
        <v>21355</v>
      </c>
      <c r="N27" s="567">
        <f>'Q - Income Statement'!N9</f>
        <v>21810</v>
      </c>
      <c r="O27" s="567">
        <f>'Q - Income Statement'!O9</f>
        <v>23273</v>
      </c>
      <c r="P27" s="567">
        <f>'Q - Income Statement'!P9</f>
        <v>24884</v>
      </c>
      <c r="Q27" s="567">
        <f>'Q - Income Statement'!Q9</f>
        <v>91322</v>
      </c>
      <c r="R27" s="567">
        <f>'Q - Income Statement'!R9</f>
        <v>23267</v>
      </c>
      <c r="S27" s="567">
        <f>'Q - Income Statement'!S9</f>
        <v>26118</v>
      </c>
      <c r="T27" s="567">
        <f>'Q - Income Statement'!T9</f>
        <v>29749</v>
      </c>
      <c r="U27" s="567">
        <f>'Q - Income Statement'!U9</f>
        <v>32128</v>
      </c>
      <c r="V27" s="567">
        <f>'Q - Income Statement'!V9</f>
        <v>111262</v>
      </c>
      <c r="W27" s="567">
        <f>'Q - Income Statement'!W9</f>
        <v>28929</v>
      </c>
    </row>
  </sheetData>
  <mergeCells count="4">
    <mergeCell ref="C2:G2"/>
    <mergeCell ref="H2:L2"/>
    <mergeCell ref="M2:Q2"/>
    <mergeCell ref="R2:V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O41"/>
  <sheetViews>
    <sheetView zoomScaleNormal="100" workbookViewId="0">
      <pane xSplit="2" ySplit="3" topLeftCell="C4" activePane="bottomRight" state="frozen"/>
      <selection pane="bottomRight" activeCell="A22" sqref="A22"/>
      <selection pane="bottomLeft" activeCell="A4" sqref="A4"/>
      <selection pane="topRight" activeCell="C1" sqref="C1"/>
    </sheetView>
  </sheetViews>
  <sheetFormatPr defaultColWidth="8.5" defaultRowHeight="14.25"/>
  <cols>
    <col min="1" max="1" width="2" customWidth="1"/>
    <col min="2" max="2" width="30" customWidth="1"/>
    <col min="3" max="15" width="9.625" customWidth="1"/>
  </cols>
  <sheetData>
    <row r="1" spans="2:15" ht="15" customHeight="1">
      <c r="B1" s="570" t="s">
        <v>374</v>
      </c>
    </row>
    <row r="2" spans="2:15" ht="15" customHeight="1">
      <c r="C2" s="760" t="s">
        <v>343</v>
      </c>
      <c r="D2" s="760"/>
      <c r="E2" s="760"/>
      <c r="F2" s="760"/>
      <c r="G2" s="760" t="s">
        <v>344</v>
      </c>
      <c r="H2" s="760"/>
      <c r="I2" s="760"/>
      <c r="J2" s="760"/>
      <c r="K2" s="760" t="s">
        <v>345</v>
      </c>
      <c r="L2" s="760"/>
      <c r="M2" s="760"/>
      <c r="N2" s="760"/>
      <c r="O2" s="571" t="s">
        <v>243</v>
      </c>
    </row>
    <row r="3" spans="2:15" ht="15" customHeight="1">
      <c r="C3" s="572" t="s">
        <v>346</v>
      </c>
      <c r="D3" s="572" t="s">
        <v>347</v>
      </c>
      <c r="E3" s="572" t="s">
        <v>348</v>
      </c>
      <c r="F3" s="572" t="s">
        <v>349</v>
      </c>
      <c r="G3" s="572" t="s">
        <v>346</v>
      </c>
      <c r="H3" s="572" t="s">
        <v>347</v>
      </c>
      <c r="I3" s="572" t="s">
        <v>348</v>
      </c>
      <c r="J3" s="572" t="s">
        <v>349</v>
      </c>
      <c r="K3" s="572" t="s">
        <v>346</v>
      </c>
      <c r="L3" s="572" t="s">
        <v>347</v>
      </c>
      <c r="M3" s="572" t="s">
        <v>348</v>
      </c>
      <c r="N3" s="572" t="s">
        <v>349</v>
      </c>
      <c r="O3" s="572" t="s">
        <v>346</v>
      </c>
    </row>
    <row r="4" spans="2:15" ht="15" customHeight="1">
      <c r="B4" s="573" t="s">
        <v>375</v>
      </c>
      <c r="C4" s="573" t="str">
        <f t="shared" ref="C4:O4" si="0">IF(ROUND(C6-C38,0)=0,"OK",ROUND(C6-C38,0))</f>
        <v>OK</v>
      </c>
      <c r="D4" s="573" t="str">
        <f t="shared" si="0"/>
        <v>OK</v>
      </c>
      <c r="E4" s="573" t="str">
        <f t="shared" si="0"/>
        <v>OK</v>
      </c>
      <c r="F4" s="573" t="str">
        <f t="shared" si="0"/>
        <v>OK</v>
      </c>
      <c r="G4" s="573" t="str">
        <f t="shared" si="0"/>
        <v>OK</v>
      </c>
      <c r="H4" s="573" t="str">
        <f t="shared" si="0"/>
        <v>OK</v>
      </c>
      <c r="I4" s="573" t="str">
        <f t="shared" si="0"/>
        <v>OK</v>
      </c>
      <c r="J4" s="573" t="str">
        <f t="shared" si="0"/>
        <v>OK</v>
      </c>
      <c r="K4" s="573" t="str">
        <f t="shared" si="0"/>
        <v>OK</v>
      </c>
      <c r="L4" s="573" t="str">
        <f t="shared" si="0"/>
        <v>OK</v>
      </c>
      <c r="M4" s="573" t="str">
        <f t="shared" si="0"/>
        <v>OK</v>
      </c>
      <c r="N4" s="573" t="str">
        <f t="shared" si="0"/>
        <v>OK</v>
      </c>
      <c r="O4" s="573" t="str">
        <f t="shared" si="0"/>
        <v>OK</v>
      </c>
    </row>
    <row r="6" spans="2:15" ht="15" customHeight="1">
      <c r="B6" s="574" t="s">
        <v>88</v>
      </c>
      <c r="C6" s="575">
        <f t="shared" ref="C6:O6" si="1">C8+C13</f>
        <v>369491</v>
      </c>
      <c r="D6" s="575">
        <f t="shared" si="1"/>
        <v>383044</v>
      </c>
      <c r="E6" s="575">
        <f t="shared" si="1"/>
        <v>396711</v>
      </c>
      <c r="F6" s="575">
        <f t="shared" si="1"/>
        <v>402392</v>
      </c>
      <c r="G6" s="575">
        <f t="shared" si="1"/>
        <v>407350</v>
      </c>
      <c r="H6" s="575">
        <f t="shared" si="1"/>
        <v>414770</v>
      </c>
      <c r="I6" s="575">
        <f t="shared" si="1"/>
        <v>430266</v>
      </c>
      <c r="J6" s="575">
        <f t="shared" si="1"/>
        <v>450256</v>
      </c>
      <c r="K6" s="575">
        <f t="shared" si="1"/>
        <v>475374</v>
      </c>
      <c r="L6" s="575">
        <f t="shared" si="1"/>
        <v>502053</v>
      </c>
      <c r="M6" s="575">
        <f t="shared" si="1"/>
        <v>536469</v>
      </c>
      <c r="N6" s="575">
        <f t="shared" si="1"/>
        <v>595281</v>
      </c>
      <c r="O6" s="575">
        <f t="shared" si="1"/>
        <v>703919</v>
      </c>
    </row>
    <row r="8" spans="2:15" ht="15" customHeight="1">
      <c r="B8" s="574" t="s">
        <v>89</v>
      </c>
      <c r="C8" s="575">
        <f t="shared" ref="C8:O8" si="2">C9+C10+C11</f>
        <v>161985</v>
      </c>
      <c r="D8" s="575">
        <f t="shared" si="2"/>
        <v>168788</v>
      </c>
      <c r="E8" s="575">
        <f t="shared" si="2"/>
        <v>176310</v>
      </c>
      <c r="F8" s="575">
        <f t="shared" si="2"/>
        <v>171530</v>
      </c>
      <c r="G8" s="575">
        <f t="shared" si="2"/>
        <v>165471</v>
      </c>
      <c r="H8" s="575">
        <f t="shared" si="2"/>
        <v>161995</v>
      </c>
      <c r="I8" s="575">
        <f t="shared" si="2"/>
        <v>157541</v>
      </c>
      <c r="J8" s="575">
        <f t="shared" si="2"/>
        <v>163711</v>
      </c>
      <c r="K8" s="575">
        <f t="shared" si="2"/>
        <v>162052</v>
      </c>
      <c r="L8" s="575">
        <f t="shared" si="2"/>
        <v>166216</v>
      </c>
      <c r="M8" s="575">
        <f t="shared" si="2"/>
        <v>173947</v>
      </c>
      <c r="N8" s="575">
        <f t="shared" si="2"/>
        <v>206038</v>
      </c>
      <c r="O8" s="575">
        <f t="shared" si="2"/>
        <v>213753</v>
      </c>
    </row>
    <row r="9" spans="2:15" ht="15" customHeight="1">
      <c r="B9" s="573" t="s">
        <v>376</v>
      </c>
      <c r="C9" s="576">
        <v>115102</v>
      </c>
      <c r="D9" s="576">
        <v>118332</v>
      </c>
      <c r="E9" s="576">
        <v>119935</v>
      </c>
      <c r="F9" s="577">
        <f>BS!K10</f>
        <v>110916</v>
      </c>
      <c r="G9" s="576">
        <v>108090</v>
      </c>
      <c r="H9" s="576">
        <v>100725</v>
      </c>
      <c r="I9" s="576">
        <v>93230</v>
      </c>
      <c r="J9" s="577">
        <f>BS!P10</f>
        <v>95657</v>
      </c>
      <c r="K9" s="576">
        <v>95328</v>
      </c>
      <c r="L9" s="576">
        <v>95148</v>
      </c>
      <c r="M9" s="576">
        <v>98496</v>
      </c>
      <c r="N9" s="577">
        <f>BS!U10</f>
        <v>126843</v>
      </c>
      <c r="O9" s="576">
        <v>126840</v>
      </c>
    </row>
    <row r="10" spans="2:15" ht="15" customHeight="1">
      <c r="B10" s="573" t="s">
        <v>91</v>
      </c>
      <c r="C10" s="576">
        <v>36036</v>
      </c>
      <c r="D10" s="576">
        <v>38804</v>
      </c>
      <c r="E10" s="576">
        <v>41020</v>
      </c>
      <c r="F10" s="577">
        <f>BS!K11</f>
        <v>47964</v>
      </c>
      <c r="G10" s="576">
        <v>44552</v>
      </c>
      <c r="H10" s="576">
        <v>47087</v>
      </c>
      <c r="I10" s="576">
        <v>49104</v>
      </c>
      <c r="J10" s="577">
        <f>BS!P11</f>
        <v>52340</v>
      </c>
      <c r="K10" s="576">
        <v>51000</v>
      </c>
      <c r="L10" s="576">
        <v>55048</v>
      </c>
      <c r="M10" s="576">
        <v>57148</v>
      </c>
      <c r="N10" s="577">
        <f>BS!U11</f>
        <v>62886</v>
      </c>
      <c r="O10" s="576">
        <v>62999</v>
      </c>
    </row>
    <row r="11" spans="2:15" ht="15" customHeight="1">
      <c r="B11" s="573" t="s">
        <v>92</v>
      </c>
      <c r="C11" s="576">
        <v>10847</v>
      </c>
      <c r="D11" s="576">
        <v>11652</v>
      </c>
      <c r="E11" s="576">
        <v>15355</v>
      </c>
      <c r="F11" s="577">
        <f>BS!K12</f>
        <v>12650</v>
      </c>
      <c r="G11" s="576">
        <v>12829</v>
      </c>
      <c r="H11" s="576">
        <v>14183</v>
      </c>
      <c r="I11" s="576">
        <v>15207</v>
      </c>
      <c r="J11" s="577">
        <f>BS!P12</f>
        <v>15714</v>
      </c>
      <c r="K11" s="576">
        <v>15724</v>
      </c>
      <c r="L11" s="576">
        <v>16020</v>
      </c>
      <c r="M11" s="576">
        <v>18303</v>
      </c>
      <c r="N11" s="577">
        <f>BS!U12</f>
        <v>16309</v>
      </c>
      <c r="O11" s="576">
        <v>23914</v>
      </c>
    </row>
    <row r="13" spans="2:15" ht="15" customHeight="1">
      <c r="B13" s="574" t="s">
        <v>93</v>
      </c>
      <c r="C13" s="575">
        <f t="shared" ref="C13:O13" si="3">SUM(C14:C18)</f>
        <v>207506</v>
      </c>
      <c r="D13" s="575">
        <f t="shared" si="3"/>
        <v>214256</v>
      </c>
      <c r="E13" s="575">
        <f t="shared" si="3"/>
        <v>220401</v>
      </c>
      <c r="F13" s="575">
        <f t="shared" si="3"/>
        <v>230862</v>
      </c>
      <c r="G13" s="575">
        <f t="shared" si="3"/>
        <v>241879</v>
      </c>
      <c r="H13" s="575">
        <f t="shared" si="3"/>
        <v>252775</v>
      </c>
      <c r="I13" s="575">
        <f t="shared" si="3"/>
        <v>272725</v>
      </c>
      <c r="J13" s="575">
        <f t="shared" si="3"/>
        <v>286545</v>
      </c>
      <c r="K13" s="575">
        <f t="shared" si="3"/>
        <v>313322</v>
      </c>
      <c r="L13" s="575">
        <f t="shared" si="3"/>
        <v>335837</v>
      </c>
      <c r="M13" s="575">
        <f t="shared" si="3"/>
        <v>362522</v>
      </c>
      <c r="N13" s="575">
        <f t="shared" si="3"/>
        <v>389243</v>
      </c>
      <c r="O13" s="575">
        <f t="shared" si="3"/>
        <v>490166</v>
      </c>
    </row>
    <row r="14" spans="2:15" ht="15" customHeight="1">
      <c r="B14" s="573" t="s">
        <v>94</v>
      </c>
      <c r="C14" s="576">
        <v>31213</v>
      </c>
      <c r="D14" s="576">
        <v>31224</v>
      </c>
      <c r="E14" s="576">
        <v>30907</v>
      </c>
      <c r="F14" s="577">
        <f>BS!K15</f>
        <v>31008</v>
      </c>
      <c r="G14" s="576">
        <v>33994</v>
      </c>
      <c r="H14" s="576">
        <v>34172</v>
      </c>
      <c r="I14" s="576">
        <v>36177</v>
      </c>
      <c r="J14" s="577">
        <f>BS!P15</f>
        <v>37982</v>
      </c>
      <c r="K14" s="576">
        <v>51029</v>
      </c>
      <c r="L14" s="576">
        <v>52574</v>
      </c>
      <c r="M14" s="576">
        <v>63800</v>
      </c>
      <c r="N14" s="577">
        <f>BS!U15</f>
        <v>68687</v>
      </c>
      <c r="O14" s="576">
        <v>106946</v>
      </c>
    </row>
    <row r="15" spans="2:15" ht="15" customHeight="1">
      <c r="B15" s="573" t="s">
        <v>95</v>
      </c>
      <c r="C15" s="576">
        <v>117560</v>
      </c>
      <c r="D15" s="576">
        <v>121208</v>
      </c>
      <c r="E15" s="576">
        <v>125705</v>
      </c>
      <c r="F15" s="577">
        <f>BS!K16</f>
        <v>134345</v>
      </c>
      <c r="G15" s="576">
        <v>143182</v>
      </c>
      <c r="H15" s="576">
        <v>151155</v>
      </c>
      <c r="I15" s="576">
        <v>161270</v>
      </c>
      <c r="J15" s="577">
        <f>BS!P16</f>
        <v>171036</v>
      </c>
      <c r="K15" s="576">
        <v>185062</v>
      </c>
      <c r="L15" s="576">
        <v>203231</v>
      </c>
      <c r="M15" s="576">
        <v>223787</v>
      </c>
      <c r="N15" s="577">
        <f>BS!U16</f>
        <v>246597</v>
      </c>
      <c r="O15" s="576">
        <v>281020</v>
      </c>
    </row>
    <row r="16" spans="2:15" ht="15" customHeight="1">
      <c r="B16" s="573" t="s">
        <v>96</v>
      </c>
      <c r="C16" s="576">
        <v>14447</v>
      </c>
      <c r="D16" s="576">
        <v>14469</v>
      </c>
      <c r="E16" s="576">
        <v>14199</v>
      </c>
      <c r="F16" s="577">
        <f>BS!K17</f>
        <v>14091</v>
      </c>
      <c r="G16" s="576">
        <v>13768</v>
      </c>
      <c r="H16" s="576">
        <v>13606</v>
      </c>
      <c r="I16" s="576">
        <v>13561</v>
      </c>
      <c r="J16" s="577">
        <f>BS!P17</f>
        <v>13588</v>
      </c>
      <c r="K16" s="576">
        <v>13722</v>
      </c>
      <c r="L16" s="576">
        <v>14255</v>
      </c>
      <c r="M16" s="576">
        <v>14524</v>
      </c>
      <c r="N16" s="577">
        <f>BS!U17</f>
        <v>15221</v>
      </c>
      <c r="O16" s="576">
        <v>15509</v>
      </c>
    </row>
    <row r="17" spans="2:15" ht="15" customHeight="1">
      <c r="B17" s="573" t="s">
        <v>377</v>
      </c>
      <c r="C17" s="576">
        <v>28994</v>
      </c>
      <c r="D17" s="576">
        <v>29210</v>
      </c>
      <c r="E17" s="576">
        <v>29146</v>
      </c>
      <c r="F17" s="577">
        <f>BS!K18</f>
        <v>29198</v>
      </c>
      <c r="G17" s="576">
        <v>29183</v>
      </c>
      <c r="H17" s="576">
        <v>29185</v>
      </c>
      <c r="I17" s="576">
        <v>31935</v>
      </c>
      <c r="J17" s="577">
        <f>BS!P18</f>
        <v>31885</v>
      </c>
      <c r="K17" s="576">
        <v>32173</v>
      </c>
      <c r="L17" s="576">
        <v>32335</v>
      </c>
      <c r="M17" s="576">
        <v>33269</v>
      </c>
      <c r="N17" s="577">
        <f>BS!U18</f>
        <v>33380</v>
      </c>
      <c r="O17" s="576">
        <v>57774</v>
      </c>
    </row>
    <row r="18" spans="2:15" ht="15" customHeight="1">
      <c r="B18" s="573" t="s">
        <v>98</v>
      </c>
      <c r="C18" s="576">
        <v>15292</v>
      </c>
      <c r="D18" s="576">
        <v>18145</v>
      </c>
      <c r="E18" s="576">
        <v>20444</v>
      </c>
      <c r="F18" s="577">
        <f>BS!K19</f>
        <v>22220</v>
      </c>
      <c r="G18" s="576">
        <v>21752</v>
      </c>
      <c r="H18" s="576">
        <v>24657</v>
      </c>
      <c r="I18" s="576">
        <v>29782</v>
      </c>
      <c r="J18" s="577">
        <f>BS!P19</f>
        <v>32054</v>
      </c>
      <c r="K18" s="576">
        <v>31336</v>
      </c>
      <c r="L18" s="576">
        <v>33442</v>
      </c>
      <c r="M18" s="576">
        <v>27142</v>
      </c>
      <c r="N18" s="577">
        <f>BS!U19</f>
        <v>25358</v>
      </c>
      <c r="O18" s="576">
        <v>28917</v>
      </c>
    </row>
    <row r="20" spans="2:15" ht="15" customHeight="1">
      <c r="B20" s="574" t="s">
        <v>99</v>
      </c>
      <c r="C20" s="575">
        <f t="shared" ref="C20:O20" si="4">C22+C28</f>
        <v>108597</v>
      </c>
      <c r="D20" s="575">
        <f t="shared" si="4"/>
        <v>115903</v>
      </c>
      <c r="E20" s="575">
        <f t="shared" si="4"/>
        <v>123509</v>
      </c>
      <c r="F20" s="575">
        <f t="shared" si="4"/>
        <v>119013</v>
      </c>
      <c r="G20" s="575">
        <f t="shared" si="4"/>
        <v>114506</v>
      </c>
      <c r="H20" s="575">
        <f t="shared" si="4"/>
        <v>114017</v>
      </c>
      <c r="I20" s="575">
        <f t="shared" si="4"/>
        <v>116147</v>
      </c>
      <c r="J20" s="575">
        <f t="shared" si="4"/>
        <v>125172</v>
      </c>
      <c r="K20" s="575">
        <f t="shared" si="4"/>
        <v>130107</v>
      </c>
      <c r="L20" s="575">
        <f t="shared" si="4"/>
        <v>139137</v>
      </c>
      <c r="M20" s="575">
        <f t="shared" si="4"/>
        <v>149602</v>
      </c>
      <c r="N20" s="575">
        <f t="shared" si="4"/>
        <v>180016</v>
      </c>
      <c r="O20" s="575">
        <f t="shared" si="4"/>
        <v>225173</v>
      </c>
    </row>
    <row r="22" spans="2:15" ht="15" customHeight="1">
      <c r="B22" s="574" t="s">
        <v>100</v>
      </c>
      <c r="C22" s="575">
        <f t="shared" ref="C22:O22" si="5">C23+C24+C25+C26</f>
        <v>68854</v>
      </c>
      <c r="D22" s="575">
        <f t="shared" si="5"/>
        <v>77709</v>
      </c>
      <c r="E22" s="575">
        <f t="shared" si="5"/>
        <v>86295</v>
      </c>
      <c r="F22" s="575">
        <f t="shared" si="5"/>
        <v>81814</v>
      </c>
      <c r="G22" s="575">
        <f t="shared" si="5"/>
        <v>76997</v>
      </c>
      <c r="H22" s="575">
        <f t="shared" si="5"/>
        <v>77913</v>
      </c>
      <c r="I22" s="575">
        <f t="shared" si="5"/>
        <v>80803</v>
      </c>
      <c r="J22" s="575">
        <f t="shared" si="5"/>
        <v>89122</v>
      </c>
      <c r="K22" s="575">
        <f t="shared" si="5"/>
        <v>91654</v>
      </c>
      <c r="L22" s="575">
        <f t="shared" si="5"/>
        <v>87310</v>
      </c>
      <c r="M22" s="575">
        <f t="shared" si="5"/>
        <v>99550</v>
      </c>
      <c r="N22" s="575">
        <f t="shared" si="5"/>
        <v>102745</v>
      </c>
      <c r="O22" s="575">
        <f t="shared" si="5"/>
        <v>111188</v>
      </c>
    </row>
    <row r="23" spans="2:15" ht="15" customHeight="1">
      <c r="B23" s="573" t="s">
        <v>127</v>
      </c>
      <c r="C23" s="576">
        <v>4184</v>
      </c>
      <c r="D23" s="576">
        <v>5313</v>
      </c>
      <c r="E23" s="576">
        <v>5803</v>
      </c>
      <c r="F23" s="577">
        <f>BS!K24</f>
        <v>7493</v>
      </c>
      <c r="G23" s="576">
        <v>6198</v>
      </c>
      <c r="H23" s="576">
        <v>6092</v>
      </c>
      <c r="I23" s="576">
        <v>7049</v>
      </c>
      <c r="J23" s="577">
        <f>BS!P24</f>
        <v>7987</v>
      </c>
      <c r="K23" s="576">
        <v>8497</v>
      </c>
      <c r="L23" s="576">
        <v>8347</v>
      </c>
      <c r="M23" s="576">
        <v>10546</v>
      </c>
      <c r="N23" s="577">
        <f>BS!U24</f>
        <v>12200</v>
      </c>
      <c r="O23" s="576">
        <v>16852</v>
      </c>
    </row>
    <row r="24" spans="2:15" ht="15" customHeight="1">
      <c r="B24" s="573" t="s">
        <v>123</v>
      </c>
      <c r="C24" s="576">
        <v>9954</v>
      </c>
      <c r="D24" s="576">
        <v>11260</v>
      </c>
      <c r="E24" s="576">
        <v>12562</v>
      </c>
      <c r="F24" s="577">
        <f>BS!K25</f>
        <v>15140</v>
      </c>
      <c r="G24" s="576">
        <v>9703</v>
      </c>
      <c r="H24" s="576">
        <v>11373</v>
      </c>
      <c r="I24" s="576">
        <v>12908</v>
      </c>
      <c r="J24" s="577">
        <f>BS!P25</f>
        <v>15069</v>
      </c>
      <c r="K24" s="576">
        <v>9984</v>
      </c>
      <c r="L24" s="576">
        <v>12168</v>
      </c>
      <c r="M24" s="576">
        <v>13944</v>
      </c>
      <c r="N24" s="577">
        <f>BS!U25</f>
        <v>17546</v>
      </c>
      <c r="O24" s="576">
        <v>13947</v>
      </c>
    </row>
    <row r="25" spans="2:15" ht="15" customHeight="1">
      <c r="B25" s="573" t="s">
        <v>378</v>
      </c>
      <c r="C25" s="576">
        <v>7816</v>
      </c>
      <c r="D25" s="576">
        <v>7990</v>
      </c>
      <c r="E25" s="576">
        <v>8025</v>
      </c>
      <c r="F25" s="577">
        <f>BS!K26</f>
        <v>8876</v>
      </c>
      <c r="G25" s="576">
        <v>8520</v>
      </c>
      <c r="H25" s="576">
        <v>8899</v>
      </c>
      <c r="I25" s="576">
        <v>9365</v>
      </c>
      <c r="J25" s="577">
        <f>BS!P26</f>
        <v>9802</v>
      </c>
      <c r="K25" s="576">
        <v>9965</v>
      </c>
      <c r="L25" s="576">
        <v>9787</v>
      </c>
      <c r="M25" s="576">
        <v>10081</v>
      </c>
      <c r="N25" s="577">
        <f>BS!U26</f>
        <v>10864</v>
      </c>
      <c r="O25" s="576">
        <v>10208</v>
      </c>
    </row>
    <row r="26" spans="2:15" ht="15" customHeight="1">
      <c r="B26" s="573" t="s">
        <v>104</v>
      </c>
      <c r="C26" s="576">
        <v>46900</v>
      </c>
      <c r="D26" s="576">
        <v>53146</v>
      </c>
      <c r="E26" s="576">
        <v>59905</v>
      </c>
      <c r="F26" s="577">
        <f>BS!K27</f>
        <v>50305</v>
      </c>
      <c r="G26" s="576">
        <v>52576</v>
      </c>
      <c r="H26" s="576">
        <v>51549</v>
      </c>
      <c r="I26" s="576">
        <v>51481</v>
      </c>
      <c r="J26" s="577">
        <f>BS!P27</f>
        <v>56264</v>
      </c>
      <c r="K26" s="576">
        <v>63208</v>
      </c>
      <c r="L26" s="576">
        <v>57008</v>
      </c>
      <c r="M26" s="576">
        <v>64979</v>
      </c>
      <c r="N26" s="577">
        <f>BS!U27</f>
        <v>62135</v>
      </c>
      <c r="O26" s="576">
        <v>70181</v>
      </c>
    </row>
    <row r="28" spans="2:15" ht="15" customHeight="1">
      <c r="B28" s="574" t="s">
        <v>105</v>
      </c>
      <c r="C28" s="575">
        <f t="shared" ref="C28:O28" si="6">C29+C30+C31+C32</f>
        <v>39743</v>
      </c>
      <c r="D28" s="575">
        <f t="shared" si="6"/>
        <v>38194</v>
      </c>
      <c r="E28" s="575">
        <f t="shared" si="6"/>
        <v>37214</v>
      </c>
      <c r="F28" s="575">
        <f t="shared" si="6"/>
        <v>37199</v>
      </c>
      <c r="G28" s="575">
        <f t="shared" si="6"/>
        <v>37509</v>
      </c>
      <c r="H28" s="575">
        <f t="shared" si="6"/>
        <v>36104</v>
      </c>
      <c r="I28" s="575">
        <f t="shared" si="6"/>
        <v>35344</v>
      </c>
      <c r="J28" s="575">
        <f t="shared" si="6"/>
        <v>36050</v>
      </c>
      <c r="K28" s="575">
        <f t="shared" si="6"/>
        <v>38453</v>
      </c>
      <c r="L28" s="575">
        <f t="shared" si="6"/>
        <v>51827</v>
      </c>
      <c r="M28" s="575">
        <f t="shared" si="6"/>
        <v>50052</v>
      </c>
      <c r="N28" s="575">
        <f t="shared" si="6"/>
        <v>77271</v>
      </c>
      <c r="O28" s="575">
        <f t="shared" si="6"/>
        <v>113985</v>
      </c>
    </row>
    <row r="29" spans="2:15" ht="15" customHeight="1">
      <c r="B29" s="573" t="s">
        <v>379</v>
      </c>
      <c r="C29" s="576">
        <v>13697</v>
      </c>
      <c r="D29" s="576">
        <v>13705</v>
      </c>
      <c r="E29" s="576">
        <v>13781</v>
      </c>
      <c r="F29" s="577">
        <f>BS!K30</f>
        <v>13253</v>
      </c>
      <c r="G29" s="576">
        <v>13228</v>
      </c>
      <c r="H29" s="576">
        <v>13238</v>
      </c>
      <c r="I29" s="576">
        <v>12297</v>
      </c>
      <c r="J29" s="577">
        <f>BS!P30</f>
        <v>10883</v>
      </c>
      <c r="K29" s="576">
        <v>10886</v>
      </c>
      <c r="L29" s="576">
        <v>23607</v>
      </c>
      <c r="M29" s="576">
        <v>21607</v>
      </c>
      <c r="N29" s="577">
        <f>BS!U30</f>
        <v>46547</v>
      </c>
      <c r="O29" s="576">
        <v>77501</v>
      </c>
    </row>
    <row r="30" spans="2:15" ht="15" customHeight="1">
      <c r="B30" s="573" t="s">
        <v>96</v>
      </c>
      <c r="C30" s="576">
        <v>12799</v>
      </c>
      <c r="D30" s="576">
        <v>12746</v>
      </c>
      <c r="E30" s="576">
        <v>12550</v>
      </c>
      <c r="F30" s="577">
        <f>BS!K31</f>
        <v>12460</v>
      </c>
      <c r="G30" s="576">
        <v>11957</v>
      </c>
      <c r="H30" s="576">
        <v>11708</v>
      </c>
      <c r="I30" s="576">
        <v>11654</v>
      </c>
      <c r="J30" s="577">
        <f>BS!P31</f>
        <v>11691</v>
      </c>
      <c r="K30" s="576">
        <v>11678</v>
      </c>
      <c r="L30" s="576">
        <v>11952</v>
      </c>
      <c r="M30" s="576">
        <v>12106</v>
      </c>
      <c r="N30" s="577">
        <f>BS!U31</f>
        <v>12744</v>
      </c>
      <c r="O30" s="576">
        <v>12983</v>
      </c>
    </row>
    <row r="31" spans="2:15" ht="15" customHeight="1">
      <c r="B31" s="573" t="s">
        <v>76</v>
      </c>
      <c r="C31" s="576">
        <v>9722</v>
      </c>
      <c r="D31" s="576">
        <v>8753</v>
      </c>
      <c r="E31" s="576">
        <v>8038</v>
      </c>
      <c r="F31" s="577">
        <f>BS!K32</f>
        <v>8474</v>
      </c>
      <c r="G31" s="576">
        <v>9234</v>
      </c>
      <c r="H31" s="576">
        <v>7703</v>
      </c>
      <c r="I31" s="576">
        <v>8219</v>
      </c>
      <c r="J31" s="577">
        <f>BS!P32</f>
        <v>8782</v>
      </c>
      <c r="K31" s="576">
        <v>9773</v>
      </c>
      <c r="L31" s="576">
        <v>10027</v>
      </c>
      <c r="M31" s="576">
        <v>10072</v>
      </c>
      <c r="N31" s="577">
        <f>BS!U32</f>
        <v>9531</v>
      </c>
      <c r="O31" s="576">
        <v>12457</v>
      </c>
    </row>
    <row r="32" spans="2:15" ht="15" customHeight="1">
      <c r="B32" s="573" t="s">
        <v>108</v>
      </c>
      <c r="C32" s="576">
        <v>3525</v>
      </c>
      <c r="D32" s="576">
        <v>2990</v>
      </c>
      <c r="E32" s="576">
        <v>2845</v>
      </c>
      <c r="F32" s="577">
        <f>BS!K33</f>
        <v>3012</v>
      </c>
      <c r="G32" s="576">
        <v>3090</v>
      </c>
      <c r="H32" s="576">
        <v>3455</v>
      </c>
      <c r="I32" s="576">
        <v>3174</v>
      </c>
      <c r="J32" s="577">
        <f>BS!P33</f>
        <v>4694</v>
      </c>
      <c r="K32" s="576">
        <v>6116</v>
      </c>
      <c r="L32" s="576">
        <v>6241</v>
      </c>
      <c r="M32" s="576">
        <v>6267</v>
      </c>
      <c r="N32" s="577">
        <f>BS!U33</f>
        <v>8449</v>
      </c>
      <c r="O32" s="576">
        <v>11044</v>
      </c>
    </row>
    <row r="34" spans="2:15" ht="15" customHeight="1">
      <c r="B34" s="574" t="s">
        <v>109</v>
      </c>
      <c r="C34" s="575">
        <f t="shared" ref="C34:O34" si="7">C35+C36</f>
        <v>260894</v>
      </c>
      <c r="D34" s="575">
        <f t="shared" si="7"/>
        <v>267141</v>
      </c>
      <c r="E34" s="575">
        <f t="shared" si="7"/>
        <v>273202</v>
      </c>
      <c r="F34" s="575">
        <f t="shared" si="7"/>
        <v>283379</v>
      </c>
      <c r="G34" s="575">
        <f t="shared" si="7"/>
        <v>292844</v>
      </c>
      <c r="H34" s="575">
        <f t="shared" si="7"/>
        <v>300753</v>
      </c>
      <c r="I34" s="575">
        <f t="shared" si="7"/>
        <v>314119</v>
      </c>
      <c r="J34" s="575">
        <f t="shared" si="7"/>
        <v>325084</v>
      </c>
      <c r="K34" s="575">
        <f t="shared" si="7"/>
        <v>345267</v>
      </c>
      <c r="L34" s="575">
        <f t="shared" si="7"/>
        <v>362916</v>
      </c>
      <c r="M34" s="575">
        <f t="shared" si="7"/>
        <v>386867</v>
      </c>
      <c r="N34" s="575">
        <f t="shared" si="7"/>
        <v>415265</v>
      </c>
      <c r="O34" s="575">
        <f t="shared" si="7"/>
        <v>478746</v>
      </c>
    </row>
    <row r="35" spans="2:15" ht="15" customHeight="1">
      <c r="B35" s="573" t="s">
        <v>380</v>
      </c>
      <c r="C35" s="576">
        <v>70269</v>
      </c>
      <c r="D35" s="576">
        <v>72248</v>
      </c>
      <c r="E35" s="576">
        <v>74591</v>
      </c>
      <c r="F35" s="577">
        <f>BS!K36</f>
        <v>76534</v>
      </c>
      <c r="G35" s="576">
        <v>77913</v>
      </c>
      <c r="H35" s="576">
        <v>79732</v>
      </c>
      <c r="I35" s="576">
        <v>82030</v>
      </c>
      <c r="J35" s="577">
        <f>BS!P36</f>
        <v>84800</v>
      </c>
      <c r="K35" s="576">
        <v>86725</v>
      </c>
      <c r="L35" s="576">
        <v>89283</v>
      </c>
      <c r="M35" s="576">
        <v>91695</v>
      </c>
      <c r="N35" s="577">
        <f>BS!U36</f>
        <v>93126</v>
      </c>
      <c r="O35" s="576">
        <v>96902</v>
      </c>
    </row>
    <row r="36" spans="2:15" ht="15" customHeight="1">
      <c r="B36" s="573" t="s">
        <v>111</v>
      </c>
      <c r="C36" s="576">
        <v>190625</v>
      </c>
      <c r="D36" s="576">
        <v>194893</v>
      </c>
      <c r="E36" s="576">
        <v>198611</v>
      </c>
      <c r="F36" s="577">
        <f>BS!K37</f>
        <v>206845</v>
      </c>
      <c r="G36" s="576">
        <v>214931</v>
      </c>
      <c r="H36" s="576">
        <v>221021</v>
      </c>
      <c r="I36" s="576">
        <v>232089</v>
      </c>
      <c r="J36" s="577">
        <f>BS!P37</f>
        <v>240284</v>
      </c>
      <c r="K36" s="576">
        <v>258542</v>
      </c>
      <c r="L36" s="576">
        <v>273633</v>
      </c>
      <c r="M36" s="576">
        <v>295172</v>
      </c>
      <c r="N36" s="577">
        <f>BS!U37</f>
        <v>322139</v>
      </c>
      <c r="O36" s="576">
        <v>381844</v>
      </c>
    </row>
    <row r="38" spans="2:15" ht="15" customHeight="1">
      <c r="B38" s="574" t="s">
        <v>381</v>
      </c>
      <c r="C38" s="575">
        <f t="shared" ref="C38:O38" si="8">C20+C34</f>
        <v>369491</v>
      </c>
      <c r="D38" s="575">
        <f t="shared" si="8"/>
        <v>383044</v>
      </c>
      <c r="E38" s="575">
        <f t="shared" si="8"/>
        <v>396711</v>
      </c>
      <c r="F38" s="575">
        <f t="shared" si="8"/>
        <v>402392</v>
      </c>
      <c r="G38" s="575">
        <f t="shared" si="8"/>
        <v>407350</v>
      </c>
      <c r="H38" s="575">
        <f t="shared" si="8"/>
        <v>414770</v>
      </c>
      <c r="I38" s="575">
        <f t="shared" si="8"/>
        <v>430266</v>
      </c>
      <c r="J38" s="575">
        <f t="shared" si="8"/>
        <v>450256</v>
      </c>
      <c r="K38" s="575">
        <f t="shared" si="8"/>
        <v>475374</v>
      </c>
      <c r="L38" s="575">
        <f t="shared" si="8"/>
        <v>502053</v>
      </c>
      <c r="M38" s="575">
        <f t="shared" si="8"/>
        <v>536469</v>
      </c>
      <c r="N38" s="575">
        <f t="shared" si="8"/>
        <v>595281</v>
      </c>
      <c r="O38" s="575">
        <f t="shared" si="8"/>
        <v>703919</v>
      </c>
    </row>
    <row r="40" spans="2:15" ht="15" customHeight="1">
      <c r="B40" s="573" t="s">
        <v>114</v>
      </c>
      <c r="C40" s="575">
        <f t="shared" ref="C40:O40" si="9">C10+C11-C23-C24-C25-C26</f>
        <v>-21971</v>
      </c>
      <c r="D40" s="575">
        <f t="shared" si="9"/>
        <v>-27253</v>
      </c>
      <c r="E40" s="575">
        <f t="shared" si="9"/>
        <v>-29920</v>
      </c>
      <c r="F40" s="575">
        <f t="shared" si="9"/>
        <v>-21200</v>
      </c>
      <c r="G40" s="575">
        <f t="shared" si="9"/>
        <v>-19616</v>
      </c>
      <c r="H40" s="575">
        <f t="shared" si="9"/>
        <v>-16643</v>
      </c>
      <c r="I40" s="575">
        <f t="shared" si="9"/>
        <v>-16492</v>
      </c>
      <c r="J40" s="575">
        <f t="shared" si="9"/>
        <v>-21068</v>
      </c>
      <c r="K40" s="575">
        <f t="shared" si="9"/>
        <v>-24930</v>
      </c>
      <c r="L40" s="575">
        <f t="shared" si="9"/>
        <v>-16242</v>
      </c>
      <c r="M40" s="575">
        <f t="shared" si="9"/>
        <v>-24099</v>
      </c>
      <c r="N40" s="575">
        <f t="shared" si="9"/>
        <v>-23550</v>
      </c>
      <c r="O40" s="575">
        <f t="shared" si="9"/>
        <v>-24275</v>
      </c>
    </row>
    <row r="41" spans="2:15" ht="15" customHeight="1">
      <c r="B41" s="573" t="s">
        <v>115</v>
      </c>
      <c r="C41" s="575">
        <f>C40-BS!F42</f>
        <v>-3704</v>
      </c>
      <c r="D41" s="575">
        <f t="shared" ref="D41:O41" si="10">D40-C40</f>
        <v>-5282</v>
      </c>
      <c r="E41" s="575">
        <f t="shared" si="10"/>
        <v>-2667</v>
      </c>
      <c r="F41" s="575">
        <f t="shared" si="10"/>
        <v>8720</v>
      </c>
      <c r="G41" s="575">
        <f t="shared" si="10"/>
        <v>1584</v>
      </c>
      <c r="H41" s="575">
        <f t="shared" si="10"/>
        <v>2973</v>
      </c>
      <c r="I41" s="575">
        <f t="shared" si="10"/>
        <v>151</v>
      </c>
      <c r="J41" s="575">
        <f t="shared" si="10"/>
        <v>-4576</v>
      </c>
      <c r="K41" s="575">
        <f t="shared" si="10"/>
        <v>-3862</v>
      </c>
      <c r="L41" s="575">
        <f t="shared" si="10"/>
        <v>8688</v>
      </c>
      <c r="M41" s="575">
        <f t="shared" si="10"/>
        <v>-7857</v>
      </c>
      <c r="N41" s="575">
        <f t="shared" si="10"/>
        <v>549</v>
      </c>
      <c r="O41" s="575">
        <f t="shared" si="10"/>
        <v>-725</v>
      </c>
    </row>
  </sheetData>
  <mergeCells count="3">
    <mergeCell ref="C2:F2"/>
    <mergeCell ref="G2:J2"/>
    <mergeCell ref="K2:N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R45"/>
  <sheetViews>
    <sheetView zoomScaleNormal="100" workbookViewId="0">
      <pane xSplit="2" ySplit="3" topLeftCell="C4" activePane="bottomRight" state="frozen"/>
      <selection pane="bottomRight" activeCell="H12" sqref="H12"/>
      <selection pane="bottomLeft" activeCell="A4" sqref="A4"/>
      <selection pane="topRight" activeCell="C1" sqref="C1"/>
    </sheetView>
  </sheetViews>
  <sheetFormatPr defaultColWidth="8.5" defaultRowHeight="14.25"/>
  <cols>
    <col min="1" max="1" width="2" customWidth="1"/>
    <col min="2" max="2" width="38" customWidth="1"/>
    <col min="3" max="18" width="9.625" customWidth="1"/>
  </cols>
  <sheetData>
    <row r="1" spans="2:18" ht="15" customHeight="1">
      <c r="B1" s="570" t="s">
        <v>382</v>
      </c>
    </row>
    <row r="2" spans="2:18" ht="15" customHeight="1">
      <c r="C2" s="760" t="s">
        <v>343</v>
      </c>
      <c r="D2" s="760"/>
      <c r="E2" s="760"/>
      <c r="F2" s="760"/>
      <c r="G2" s="760"/>
      <c r="H2" s="760" t="s">
        <v>344</v>
      </c>
      <c r="I2" s="760"/>
      <c r="J2" s="760"/>
      <c r="K2" s="760"/>
      <c r="L2" s="760"/>
      <c r="M2" s="760" t="s">
        <v>345</v>
      </c>
      <c r="N2" s="760"/>
      <c r="O2" s="760"/>
      <c r="P2" s="760"/>
      <c r="Q2" s="760"/>
      <c r="R2" s="571" t="s">
        <v>243</v>
      </c>
    </row>
    <row r="3" spans="2:18" ht="15" customHeight="1">
      <c r="C3" s="572" t="s">
        <v>346</v>
      </c>
      <c r="D3" s="572" t="s">
        <v>347</v>
      </c>
      <c r="E3" s="572" t="s">
        <v>348</v>
      </c>
      <c r="F3" s="572" t="s">
        <v>349</v>
      </c>
      <c r="G3" s="572" t="s">
        <v>350</v>
      </c>
      <c r="H3" s="572" t="s">
        <v>346</v>
      </c>
      <c r="I3" s="572" t="s">
        <v>347</v>
      </c>
      <c r="J3" s="572" t="s">
        <v>348</v>
      </c>
      <c r="K3" s="572" t="s">
        <v>349</v>
      </c>
      <c r="L3" s="572" t="s">
        <v>350</v>
      </c>
      <c r="M3" s="572" t="s">
        <v>346</v>
      </c>
      <c r="N3" s="572" t="s">
        <v>347</v>
      </c>
      <c r="O3" s="572" t="s">
        <v>348</v>
      </c>
      <c r="P3" s="572" t="s">
        <v>349</v>
      </c>
      <c r="Q3" s="572" t="s">
        <v>350</v>
      </c>
      <c r="R3" s="572" t="s">
        <v>346</v>
      </c>
    </row>
    <row r="5" spans="2:18" ht="15" customHeight="1">
      <c r="B5" s="574" t="s">
        <v>169</v>
      </c>
    </row>
    <row r="6" spans="2:18" ht="15" customHeight="1">
      <c r="B6" s="574" t="s">
        <v>78</v>
      </c>
      <c r="C6" s="578">
        <v>15051</v>
      </c>
      <c r="D6" s="578">
        <v>18368</v>
      </c>
      <c r="E6" s="578">
        <v>19689</v>
      </c>
      <c r="F6" s="578">
        <v>20687</v>
      </c>
      <c r="G6" s="237">
        <f t="shared" ref="G6:G21" si="0">SUM(C6:F6)</f>
        <v>73795</v>
      </c>
      <c r="H6" s="578">
        <v>23662</v>
      </c>
      <c r="I6" s="578">
        <v>23619</v>
      </c>
      <c r="J6" s="578">
        <v>26301</v>
      </c>
      <c r="K6" s="578">
        <v>26536</v>
      </c>
      <c r="L6" s="237">
        <f t="shared" ref="L6:L21" si="1">SUM(H6:K6)</f>
        <v>100118</v>
      </c>
      <c r="M6" s="578">
        <v>34540</v>
      </c>
      <c r="N6" s="578">
        <v>28196</v>
      </c>
      <c r="O6" s="578">
        <v>34979</v>
      </c>
      <c r="P6" s="578">
        <v>34455</v>
      </c>
      <c r="Q6" s="237">
        <f t="shared" ref="Q6:Q21" si="2">SUM(M6:P6)</f>
        <v>132170</v>
      </c>
      <c r="R6" s="578">
        <v>62578</v>
      </c>
    </row>
    <row r="7" spans="2:18" ht="15" customHeight="1">
      <c r="B7" s="573" t="s">
        <v>170</v>
      </c>
      <c r="C7" s="575">
        <f>SUM(C8:C12)</f>
        <v>7085</v>
      </c>
      <c r="D7" s="575">
        <f>SUM(D8:D12)</f>
        <v>7362</v>
      </c>
      <c r="E7" s="575">
        <f>SUM(E8:E12)</f>
        <v>8850</v>
      </c>
      <c r="F7" s="575">
        <f>SUM(F8:F12)</f>
        <v>8499</v>
      </c>
      <c r="G7" s="575">
        <f t="shared" si="0"/>
        <v>31796</v>
      </c>
      <c r="H7" s="575">
        <f>SUM(H8:H12)</f>
        <v>7649</v>
      </c>
      <c r="I7" s="575">
        <f>SUM(I8:I12)</f>
        <v>8291</v>
      </c>
      <c r="J7" s="575">
        <f>SUM(J8:J12)</f>
        <v>8186</v>
      </c>
      <c r="K7" s="575">
        <f>SUM(K8:K12)</f>
        <v>9461</v>
      </c>
      <c r="L7" s="575">
        <f t="shared" si="1"/>
        <v>33587</v>
      </c>
      <c r="M7" s="575">
        <f>SUM(M8:M12)</f>
        <v>-628</v>
      </c>
      <c r="N7" s="575">
        <f>SUM(N8:N12)</f>
        <v>9661</v>
      </c>
      <c r="O7" s="575">
        <f>SUM(O8:O12)</f>
        <v>9652</v>
      </c>
      <c r="P7" s="575">
        <f>SUM(P8:P12)</f>
        <v>13240</v>
      </c>
      <c r="Q7" s="575">
        <f t="shared" si="2"/>
        <v>31925</v>
      </c>
      <c r="R7" s="575">
        <f>SUM(R8:R12)</f>
        <v>-15386</v>
      </c>
    </row>
    <row r="8" spans="2:18" ht="15" customHeight="1">
      <c r="B8" s="573" t="s">
        <v>383</v>
      </c>
      <c r="C8" s="576">
        <v>3186</v>
      </c>
      <c r="D8" s="576">
        <v>3397</v>
      </c>
      <c r="E8" s="576">
        <v>3800</v>
      </c>
      <c r="F8" s="576">
        <v>1563</v>
      </c>
      <c r="G8" s="575">
        <f t="shared" si="0"/>
        <v>11946</v>
      </c>
      <c r="H8" s="576">
        <v>3413</v>
      </c>
      <c r="I8" s="576">
        <v>3708</v>
      </c>
      <c r="J8" s="576">
        <v>3985</v>
      </c>
      <c r="K8" s="576">
        <v>4205</v>
      </c>
      <c r="L8" s="575">
        <f t="shared" si="1"/>
        <v>15311</v>
      </c>
      <c r="M8" s="576">
        <v>4487</v>
      </c>
      <c r="N8" s="576">
        <v>4998</v>
      </c>
      <c r="O8" s="576">
        <v>5611</v>
      </c>
      <c r="P8" s="576">
        <v>6040</v>
      </c>
      <c r="Q8" s="575">
        <f t="shared" si="2"/>
        <v>21136</v>
      </c>
      <c r="R8" s="576">
        <v>6482</v>
      </c>
    </row>
    <row r="9" spans="2:18" ht="15" customHeight="1">
      <c r="B9" s="573" t="s">
        <v>384</v>
      </c>
      <c r="C9" s="576">
        <v>5284</v>
      </c>
      <c r="D9" s="576">
        <v>5774</v>
      </c>
      <c r="E9" s="576">
        <v>5743</v>
      </c>
      <c r="F9" s="576">
        <v>5659</v>
      </c>
      <c r="G9" s="575">
        <f t="shared" si="0"/>
        <v>22460</v>
      </c>
      <c r="H9" s="576">
        <v>5264</v>
      </c>
      <c r="I9" s="576">
        <v>5865</v>
      </c>
      <c r="J9" s="576">
        <v>5846</v>
      </c>
      <c r="K9" s="576">
        <v>5810</v>
      </c>
      <c r="L9" s="575">
        <f t="shared" si="1"/>
        <v>22785</v>
      </c>
      <c r="M9" s="576">
        <v>5516</v>
      </c>
      <c r="N9" s="576">
        <v>5998</v>
      </c>
      <c r="O9" s="576">
        <v>6368</v>
      </c>
      <c r="P9" s="576">
        <v>7071</v>
      </c>
      <c r="Q9" s="575">
        <f t="shared" si="2"/>
        <v>24953</v>
      </c>
      <c r="R9" s="576">
        <v>6751</v>
      </c>
    </row>
    <row r="10" spans="2:18" ht="15" customHeight="1">
      <c r="B10" s="573" t="s">
        <v>385</v>
      </c>
      <c r="C10" s="576">
        <v>-1854</v>
      </c>
      <c r="D10" s="576">
        <v>-2415</v>
      </c>
      <c r="E10" s="576">
        <v>-1824</v>
      </c>
      <c r="F10" s="576">
        <v>-1670</v>
      </c>
      <c r="G10" s="575">
        <f t="shared" si="0"/>
        <v>-7763</v>
      </c>
      <c r="H10" s="576">
        <v>419</v>
      </c>
      <c r="I10" s="576">
        <v>-3157</v>
      </c>
      <c r="J10" s="576">
        <v>-1071</v>
      </c>
      <c r="K10" s="576">
        <v>-1448</v>
      </c>
      <c r="L10" s="575">
        <f t="shared" si="1"/>
        <v>-5257</v>
      </c>
      <c r="M10" s="576">
        <v>-1152</v>
      </c>
      <c r="N10" s="576">
        <v>-444</v>
      </c>
      <c r="O10" s="576">
        <v>8726</v>
      </c>
      <c r="P10" s="576">
        <v>1218</v>
      </c>
      <c r="Q10" s="575">
        <f t="shared" si="2"/>
        <v>8348</v>
      </c>
      <c r="R10" s="576">
        <v>6920</v>
      </c>
    </row>
    <row r="11" spans="2:18" ht="15" customHeight="1">
      <c r="B11" s="573" t="s">
        <v>386</v>
      </c>
      <c r="C11" s="576">
        <v>-84</v>
      </c>
      <c r="D11" s="576">
        <v>509</v>
      </c>
      <c r="E11" s="576">
        <v>869</v>
      </c>
      <c r="F11" s="576">
        <v>-471</v>
      </c>
      <c r="G11" s="575">
        <f t="shared" si="0"/>
        <v>823</v>
      </c>
      <c r="H11" s="576">
        <v>-1781</v>
      </c>
      <c r="I11" s="576">
        <v>1024</v>
      </c>
      <c r="J11" s="576">
        <v>-1981</v>
      </c>
      <c r="K11" s="576">
        <v>67</v>
      </c>
      <c r="L11" s="575">
        <f t="shared" si="1"/>
        <v>-2671</v>
      </c>
      <c r="M11" s="576">
        <v>-9960</v>
      </c>
      <c r="N11" s="576">
        <v>-1451</v>
      </c>
      <c r="O11" s="576">
        <v>-10855</v>
      </c>
      <c r="P11" s="576">
        <v>-2354</v>
      </c>
      <c r="Q11" s="575">
        <f t="shared" si="2"/>
        <v>-24620</v>
      </c>
      <c r="R11" s="576">
        <v>-36804</v>
      </c>
    </row>
    <row r="12" spans="2:18" ht="15" customHeight="1">
      <c r="B12" s="573" t="s">
        <v>387</v>
      </c>
      <c r="C12" s="576">
        <v>553</v>
      </c>
      <c r="D12" s="576">
        <v>97</v>
      </c>
      <c r="E12" s="576">
        <v>262</v>
      </c>
      <c r="F12" s="576">
        <v>3418</v>
      </c>
      <c r="G12" s="575">
        <f t="shared" si="0"/>
        <v>4330</v>
      </c>
      <c r="H12" s="576">
        <v>334</v>
      </c>
      <c r="I12" s="576">
        <v>851</v>
      </c>
      <c r="J12" s="576">
        <v>1407</v>
      </c>
      <c r="K12" s="576">
        <v>827</v>
      </c>
      <c r="L12" s="575">
        <f t="shared" si="1"/>
        <v>3419</v>
      </c>
      <c r="M12" s="576">
        <v>481</v>
      </c>
      <c r="N12" s="576">
        <v>560</v>
      </c>
      <c r="O12" s="576">
        <v>-198</v>
      </c>
      <c r="P12" s="576">
        <v>1265</v>
      </c>
      <c r="Q12" s="575">
        <f t="shared" si="2"/>
        <v>2108</v>
      </c>
      <c r="R12" s="576">
        <v>1265</v>
      </c>
    </row>
    <row r="13" spans="2:18" ht="15" customHeight="1">
      <c r="B13" s="573" t="s">
        <v>388</v>
      </c>
      <c r="C13" s="575">
        <f>SUM(C14:C20)</f>
        <v>1373</v>
      </c>
      <c r="D13" s="575">
        <f>SUM(D14:D20)</f>
        <v>2936</v>
      </c>
      <c r="E13" s="575">
        <f>SUM(E14:E20)</f>
        <v>2117</v>
      </c>
      <c r="F13" s="575">
        <f>SUM(F14:F20)</f>
        <v>-10271</v>
      </c>
      <c r="G13" s="575">
        <f t="shared" si="0"/>
        <v>-3845</v>
      </c>
      <c r="H13" s="575">
        <f>SUM(H14:H20)</f>
        <v>-2463</v>
      </c>
      <c r="I13" s="575">
        <f>SUM(I14:I20)</f>
        <v>-5270</v>
      </c>
      <c r="J13" s="575">
        <f>SUM(J14:J20)</f>
        <v>-3789</v>
      </c>
      <c r="K13" s="575">
        <f>SUM(K14:K20)</f>
        <v>3116</v>
      </c>
      <c r="L13" s="575">
        <f t="shared" si="1"/>
        <v>-8406</v>
      </c>
      <c r="M13" s="575">
        <f>SUM(M14:M20)</f>
        <v>2238</v>
      </c>
      <c r="N13" s="575">
        <f>SUM(N14:N20)</f>
        <v>-10110</v>
      </c>
      <c r="O13" s="575">
        <f>SUM(O14:O20)</f>
        <v>3783</v>
      </c>
      <c r="P13" s="575">
        <f>SUM(P14:P20)</f>
        <v>4707</v>
      </c>
      <c r="Q13" s="575">
        <f t="shared" si="2"/>
        <v>618</v>
      </c>
      <c r="R13" s="575">
        <f>SUM(R14:R20)</f>
        <v>-1402</v>
      </c>
    </row>
    <row r="14" spans="2:18" ht="15" customHeight="1">
      <c r="B14" s="573" t="s">
        <v>389</v>
      </c>
      <c r="C14" s="576">
        <v>4454</v>
      </c>
      <c r="D14" s="576">
        <v>-2948</v>
      </c>
      <c r="E14" s="576">
        <v>-2821</v>
      </c>
      <c r="F14" s="576">
        <v>-6518</v>
      </c>
      <c r="G14" s="575">
        <f t="shared" si="0"/>
        <v>-7833</v>
      </c>
      <c r="H14" s="576">
        <v>3167</v>
      </c>
      <c r="I14" s="576">
        <v>-3057</v>
      </c>
      <c r="J14" s="576">
        <v>-1431</v>
      </c>
      <c r="K14" s="576">
        <v>-4570</v>
      </c>
      <c r="L14" s="575">
        <f t="shared" si="1"/>
        <v>-5891</v>
      </c>
      <c r="M14" s="576">
        <v>1638</v>
      </c>
      <c r="N14" s="576">
        <v>-2839</v>
      </c>
      <c r="O14" s="576">
        <v>-2381</v>
      </c>
      <c r="P14" s="576">
        <v>-5197</v>
      </c>
      <c r="Q14" s="575">
        <f t="shared" si="2"/>
        <v>-8779</v>
      </c>
      <c r="R14" s="576">
        <v>-363</v>
      </c>
    </row>
    <row r="15" spans="2:18" ht="15" customHeight="1">
      <c r="B15" s="573" t="s">
        <v>390</v>
      </c>
      <c r="C15" s="576">
        <v>4069</v>
      </c>
      <c r="D15" s="576">
        <v>4451</v>
      </c>
      <c r="E15" s="576">
        <v>1872</v>
      </c>
      <c r="F15" s="576">
        <v>-9869</v>
      </c>
      <c r="G15" s="575">
        <f t="shared" si="0"/>
        <v>523</v>
      </c>
      <c r="H15" s="576">
        <v>3011</v>
      </c>
      <c r="I15" s="576">
        <v>-3900</v>
      </c>
      <c r="J15" s="576">
        <v>-1908</v>
      </c>
      <c r="K15" s="576">
        <v>379</v>
      </c>
      <c r="L15" s="575">
        <f t="shared" si="1"/>
        <v>-2418</v>
      </c>
      <c r="M15" s="576">
        <v>7197</v>
      </c>
      <c r="N15" s="576">
        <v>-9631</v>
      </c>
      <c r="O15" s="576">
        <v>-858</v>
      </c>
      <c r="P15" s="576">
        <v>66</v>
      </c>
      <c r="Q15" s="575">
        <f t="shared" si="2"/>
        <v>-3226</v>
      </c>
      <c r="R15" s="576">
        <v>8101</v>
      </c>
    </row>
    <row r="16" spans="2:18" ht="15" customHeight="1">
      <c r="B16" s="573" t="s">
        <v>391</v>
      </c>
      <c r="C16" s="576">
        <v>-746</v>
      </c>
      <c r="D16" s="576">
        <v>-513</v>
      </c>
      <c r="E16" s="576">
        <v>-1624</v>
      </c>
      <c r="F16" s="576">
        <v>740</v>
      </c>
      <c r="G16" s="575">
        <f t="shared" si="0"/>
        <v>-2143</v>
      </c>
      <c r="H16" s="576">
        <v>-1000</v>
      </c>
      <c r="I16" s="576">
        <v>-532</v>
      </c>
      <c r="J16" s="576">
        <v>-802</v>
      </c>
      <c r="K16" s="576">
        <v>937</v>
      </c>
      <c r="L16" s="575">
        <f t="shared" si="1"/>
        <v>-1397</v>
      </c>
      <c r="M16" s="576">
        <v>-1288</v>
      </c>
      <c r="N16" s="576">
        <v>-1479</v>
      </c>
      <c r="O16" s="576">
        <v>-1293</v>
      </c>
      <c r="P16" s="576">
        <v>-482</v>
      </c>
      <c r="Q16" s="575">
        <f t="shared" si="2"/>
        <v>-4542</v>
      </c>
      <c r="R16" s="576">
        <v>-3403</v>
      </c>
    </row>
    <row r="17" spans="2:18" ht="15" customHeight="1">
      <c r="B17" s="573" t="s">
        <v>392</v>
      </c>
      <c r="C17" s="576">
        <v>-1105</v>
      </c>
      <c r="D17" s="576">
        <v>1119</v>
      </c>
      <c r="E17" s="576">
        <v>223</v>
      </c>
      <c r="F17" s="576">
        <v>427</v>
      </c>
      <c r="G17" s="575">
        <f t="shared" si="0"/>
        <v>664</v>
      </c>
      <c r="H17" s="576">
        <v>-2124</v>
      </c>
      <c r="I17" s="576">
        <v>1561</v>
      </c>
      <c r="J17" s="576">
        <v>521</v>
      </c>
      <c r="K17" s="576">
        <v>401</v>
      </c>
      <c r="L17" s="575">
        <f t="shared" si="1"/>
        <v>359</v>
      </c>
      <c r="M17" s="576">
        <v>-880</v>
      </c>
      <c r="N17" s="576">
        <v>553</v>
      </c>
      <c r="O17" s="576">
        <v>-444</v>
      </c>
      <c r="P17" s="576">
        <v>1678</v>
      </c>
      <c r="Q17" s="575">
        <f t="shared" si="2"/>
        <v>907</v>
      </c>
      <c r="R17" s="576">
        <v>-240</v>
      </c>
    </row>
    <row r="18" spans="2:18" ht="15" customHeight="1">
      <c r="B18" s="573" t="s">
        <v>393</v>
      </c>
      <c r="C18" s="576">
        <v>-4496</v>
      </c>
      <c r="D18" s="576">
        <v>459</v>
      </c>
      <c r="E18" s="576">
        <v>3657</v>
      </c>
      <c r="F18" s="576">
        <v>4317</v>
      </c>
      <c r="G18" s="575">
        <f t="shared" si="0"/>
        <v>3937</v>
      </c>
      <c r="H18" s="576">
        <v>-5054</v>
      </c>
      <c r="I18" s="576">
        <v>-122</v>
      </c>
      <c r="J18" s="576">
        <v>-1190</v>
      </c>
      <c r="K18" s="576">
        <v>5205</v>
      </c>
      <c r="L18" s="575">
        <f t="shared" si="1"/>
        <v>-1161</v>
      </c>
      <c r="M18" s="576">
        <v>-5045</v>
      </c>
      <c r="N18" s="576">
        <v>3485</v>
      </c>
      <c r="O18" s="576">
        <v>7759</v>
      </c>
      <c r="P18" s="576">
        <v>6740</v>
      </c>
      <c r="Q18" s="575">
        <f t="shared" si="2"/>
        <v>12939</v>
      </c>
      <c r="R18" s="576">
        <v>-6002</v>
      </c>
    </row>
    <row r="19" spans="2:18" ht="15" customHeight="1">
      <c r="B19" s="573" t="s">
        <v>394</v>
      </c>
      <c r="C19" s="576">
        <v>-602</v>
      </c>
      <c r="D19" s="576">
        <v>184</v>
      </c>
      <c r="E19" s="576">
        <v>103</v>
      </c>
      <c r="F19" s="576">
        <v>797</v>
      </c>
      <c r="G19" s="575">
        <f t="shared" si="0"/>
        <v>482</v>
      </c>
      <c r="H19" s="576">
        <v>-322</v>
      </c>
      <c r="I19" s="576">
        <v>419</v>
      </c>
      <c r="J19" s="576">
        <v>381</v>
      </c>
      <c r="K19" s="576">
        <v>581</v>
      </c>
      <c r="L19" s="575">
        <f t="shared" si="1"/>
        <v>1059</v>
      </c>
      <c r="M19" s="576">
        <v>116</v>
      </c>
      <c r="N19" s="576">
        <v>-335</v>
      </c>
      <c r="O19" s="576">
        <v>319</v>
      </c>
      <c r="P19" s="576">
        <v>799</v>
      </c>
      <c r="Q19" s="575">
        <f t="shared" si="2"/>
        <v>899</v>
      </c>
      <c r="R19" s="576"/>
    </row>
    <row r="20" spans="2:18" ht="15" customHeight="1">
      <c r="B20" s="573" t="s">
        <v>395</v>
      </c>
      <c r="C20" s="576">
        <v>-201</v>
      </c>
      <c r="D20" s="576">
        <v>184</v>
      </c>
      <c r="E20" s="576">
        <v>707</v>
      </c>
      <c r="F20" s="576">
        <v>-165</v>
      </c>
      <c r="G20" s="575">
        <f t="shared" si="0"/>
        <v>525</v>
      </c>
      <c r="H20" s="576">
        <v>-141</v>
      </c>
      <c r="I20" s="576">
        <v>361</v>
      </c>
      <c r="J20" s="576">
        <v>640</v>
      </c>
      <c r="K20" s="576">
        <v>183</v>
      </c>
      <c r="L20" s="575">
        <f t="shared" si="1"/>
        <v>1043</v>
      </c>
      <c r="M20" s="576">
        <v>500</v>
      </c>
      <c r="N20" s="576">
        <v>136</v>
      </c>
      <c r="O20" s="576">
        <v>681</v>
      </c>
      <c r="P20" s="576">
        <v>1103</v>
      </c>
      <c r="Q20" s="575">
        <f t="shared" si="2"/>
        <v>2420</v>
      </c>
      <c r="R20" s="576">
        <v>505</v>
      </c>
    </row>
    <row r="21" spans="2:18" ht="15" customHeight="1">
      <c r="B21" s="574" t="s">
        <v>184</v>
      </c>
      <c r="C21" s="237">
        <f>C6+C7+C13</f>
        <v>23509</v>
      </c>
      <c r="D21" s="237">
        <f>D6+D7+D13</f>
        <v>28666</v>
      </c>
      <c r="E21" s="237">
        <f>E6+E7+E13</f>
        <v>30656</v>
      </c>
      <c r="F21" s="237">
        <f>F6+F7+F13</f>
        <v>18915</v>
      </c>
      <c r="G21" s="237">
        <f t="shared" si="0"/>
        <v>101746</v>
      </c>
      <c r="H21" s="237">
        <f>H6+H7+H13</f>
        <v>28848</v>
      </c>
      <c r="I21" s="237">
        <f>I6+I7+I13</f>
        <v>26640</v>
      </c>
      <c r="J21" s="237">
        <f>J6+J7+J13</f>
        <v>30698</v>
      </c>
      <c r="K21" s="237">
        <f>K6+K7+K13</f>
        <v>39113</v>
      </c>
      <c r="L21" s="237">
        <f t="shared" si="1"/>
        <v>125299</v>
      </c>
      <c r="M21" s="237">
        <f>M6+M7+M13</f>
        <v>36150</v>
      </c>
      <c r="N21" s="237">
        <f>N6+N7+N13</f>
        <v>27747</v>
      </c>
      <c r="O21" s="237">
        <f>O6+O7+O13</f>
        <v>48414</v>
      </c>
      <c r="P21" s="237">
        <f>P6+P7+P13</f>
        <v>52402</v>
      </c>
      <c r="Q21" s="237">
        <f t="shared" si="2"/>
        <v>164713</v>
      </c>
      <c r="R21" s="237">
        <f>R6+R7+R13</f>
        <v>45790</v>
      </c>
    </row>
    <row r="23" spans="2:18" ht="15" customHeight="1">
      <c r="B23" s="574" t="s">
        <v>185</v>
      </c>
    </row>
    <row r="24" spans="2:18" ht="15" customHeight="1">
      <c r="B24" s="573" t="s">
        <v>396</v>
      </c>
      <c r="C24" s="576">
        <v>-6289</v>
      </c>
      <c r="D24" s="576">
        <v>-6888</v>
      </c>
      <c r="E24" s="576">
        <v>-8055</v>
      </c>
      <c r="F24" s="576">
        <v>-11019</v>
      </c>
      <c r="G24" s="575">
        <f t="shared" ref="G24:G31" si="3">SUM(C24:F24)</f>
        <v>-32251</v>
      </c>
      <c r="H24" s="576">
        <v>-12012</v>
      </c>
      <c r="I24" s="576">
        <v>-13186</v>
      </c>
      <c r="J24" s="576">
        <v>-13061</v>
      </c>
      <c r="K24" s="576">
        <v>-14276</v>
      </c>
      <c r="L24" s="575">
        <f t="shared" ref="L24:L31" si="4">SUM(H24:K24)</f>
        <v>-52535</v>
      </c>
      <c r="M24" s="576">
        <v>-17197</v>
      </c>
      <c r="N24" s="576">
        <v>-22446</v>
      </c>
      <c r="O24" s="576">
        <v>-23953</v>
      </c>
      <c r="P24" s="576">
        <v>-27851</v>
      </c>
      <c r="Q24" s="575">
        <f t="shared" ref="Q24:Q31" si="5">SUM(M24:P24)</f>
        <v>-91447</v>
      </c>
      <c r="R24" s="576">
        <v>-35674</v>
      </c>
    </row>
    <row r="25" spans="2:18" ht="15" customHeight="1">
      <c r="B25" s="573" t="s">
        <v>397</v>
      </c>
      <c r="C25" s="576">
        <v>-14227</v>
      </c>
      <c r="D25" s="576">
        <v>-21362</v>
      </c>
      <c r="E25" s="576">
        <v>-13833</v>
      </c>
      <c r="F25" s="576">
        <v>-28436</v>
      </c>
      <c r="G25" s="575">
        <f t="shared" si="3"/>
        <v>-77858</v>
      </c>
      <c r="H25" s="576">
        <v>-20684</v>
      </c>
      <c r="I25" s="576">
        <v>-22327</v>
      </c>
      <c r="J25" s="576">
        <v>-22023</v>
      </c>
      <c r="K25" s="576">
        <v>-21645</v>
      </c>
      <c r="L25" s="575">
        <f t="shared" si="4"/>
        <v>-86679</v>
      </c>
      <c r="M25" s="576">
        <v>-18453</v>
      </c>
      <c r="N25" s="576">
        <v>-21417</v>
      </c>
      <c r="O25" s="576">
        <v>-20964</v>
      </c>
      <c r="P25" s="576">
        <v>-42939</v>
      </c>
      <c r="Q25" s="575">
        <f t="shared" si="5"/>
        <v>-103773</v>
      </c>
      <c r="R25" s="576">
        <v>-31041</v>
      </c>
    </row>
    <row r="26" spans="2:18" ht="15" customHeight="1">
      <c r="B26" s="573" t="s">
        <v>398</v>
      </c>
      <c r="C26" s="576">
        <v>18327</v>
      </c>
      <c r="D26" s="576">
        <v>18722</v>
      </c>
      <c r="E26" s="576">
        <v>15593</v>
      </c>
      <c r="F26" s="576">
        <v>34030</v>
      </c>
      <c r="G26" s="575">
        <f t="shared" si="3"/>
        <v>86672</v>
      </c>
      <c r="H26" s="576">
        <v>24985</v>
      </c>
      <c r="I26" s="576">
        <v>33592</v>
      </c>
      <c r="J26" s="576">
        <v>23202</v>
      </c>
      <c r="K26" s="576">
        <v>21649</v>
      </c>
      <c r="L26" s="575">
        <f t="shared" si="4"/>
        <v>103428</v>
      </c>
      <c r="M26" s="576">
        <v>20345</v>
      </c>
      <c r="N26" s="576">
        <v>20585</v>
      </c>
      <c r="O26" s="576">
        <v>20371</v>
      </c>
      <c r="P26" s="576">
        <v>21939</v>
      </c>
      <c r="Q26" s="575">
        <f t="shared" si="5"/>
        <v>83240</v>
      </c>
      <c r="R26" s="576">
        <v>38001</v>
      </c>
    </row>
    <row r="27" spans="2:18" ht="15" customHeight="1">
      <c r="B27" s="573" t="s">
        <v>399</v>
      </c>
      <c r="C27" s="576">
        <v>-626</v>
      </c>
      <c r="D27" s="576">
        <v>-887</v>
      </c>
      <c r="E27" s="576">
        <v>-663</v>
      </c>
      <c r="F27" s="576">
        <v>-851</v>
      </c>
      <c r="G27" s="575">
        <f t="shared" si="3"/>
        <v>-3027</v>
      </c>
      <c r="H27" s="576">
        <v>-1206</v>
      </c>
      <c r="I27" s="576">
        <v>-993</v>
      </c>
      <c r="J27" s="576">
        <v>-1035</v>
      </c>
      <c r="K27" s="576">
        <v>-1800</v>
      </c>
      <c r="L27" s="575">
        <f t="shared" si="4"/>
        <v>-5034</v>
      </c>
      <c r="M27" s="576">
        <v>-958</v>
      </c>
      <c r="N27" s="576">
        <v>-1354</v>
      </c>
      <c r="O27" s="576">
        <v>-1000</v>
      </c>
      <c r="P27" s="576">
        <v>-2404</v>
      </c>
      <c r="Q27" s="575">
        <f t="shared" si="5"/>
        <v>-5716</v>
      </c>
      <c r="R27" s="576">
        <v>-906</v>
      </c>
    </row>
    <row r="28" spans="2:18" ht="15" customHeight="1">
      <c r="B28" s="573" t="s">
        <v>400</v>
      </c>
      <c r="C28" s="576">
        <v>36</v>
      </c>
      <c r="D28" s="576">
        <v>145</v>
      </c>
      <c r="E28" s="576">
        <v>562</v>
      </c>
      <c r="F28" s="576">
        <v>204</v>
      </c>
      <c r="G28" s="575">
        <f t="shared" si="3"/>
        <v>947</v>
      </c>
      <c r="H28" s="576">
        <v>313</v>
      </c>
      <c r="I28" s="576">
        <v>292</v>
      </c>
      <c r="J28" s="576">
        <v>127</v>
      </c>
      <c r="K28" s="576">
        <v>150</v>
      </c>
      <c r="L28" s="575">
        <f t="shared" si="4"/>
        <v>882</v>
      </c>
      <c r="M28" s="576">
        <v>259</v>
      </c>
      <c r="N28" s="576">
        <v>614</v>
      </c>
      <c r="O28" s="576">
        <v>323</v>
      </c>
      <c r="P28" s="576">
        <v>171</v>
      </c>
      <c r="Q28" s="575">
        <f t="shared" si="5"/>
        <v>1367</v>
      </c>
      <c r="R28" s="576">
        <v>848</v>
      </c>
    </row>
    <row r="29" spans="2:18" ht="15" customHeight="1">
      <c r="B29" s="573" t="s">
        <v>401</v>
      </c>
      <c r="C29" s="576">
        <v>-42</v>
      </c>
      <c r="D29" s="576">
        <v>-298</v>
      </c>
      <c r="E29" s="576">
        <v>-126</v>
      </c>
      <c r="F29" s="576">
        <v>-29</v>
      </c>
      <c r="G29" s="575">
        <f t="shared" si="3"/>
        <v>-495</v>
      </c>
      <c r="H29" s="576">
        <v>-61</v>
      </c>
      <c r="I29" s="576">
        <v>-26</v>
      </c>
      <c r="J29" s="576">
        <v>-2753</v>
      </c>
      <c r="K29" s="576">
        <v>-91</v>
      </c>
      <c r="L29" s="575">
        <f t="shared" si="4"/>
        <v>-2931</v>
      </c>
      <c r="M29" s="576">
        <v>-340</v>
      </c>
      <c r="N29" s="576">
        <v>-13</v>
      </c>
      <c r="O29" s="576">
        <v>-1072</v>
      </c>
      <c r="P29" s="576">
        <v>-167</v>
      </c>
      <c r="Q29" s="575">
        <f t="shared" si="5"/>
        <v>-1592</v>
      </c>
      <c r="R29" s="576">
        <v>-33621</v>
      </c>
    </row>
    <row r="30" spans="2:18" ht="15" customHeight="1">
      <c r="B30" s="573" t="s">
        <v>402</v>
      </c>
      <c r="C30" s="576">
        <v>-125</v>
      </c>
      <c r="D30" s="576">
        <v>-232</v>
      </c>
      <c r="E30" s="576">
        <v>-628</v>
      </c>
      <c r="F30" s="576">
        <v>-66</v>
      </c>
      <c r="G30" s="575">
        <f t="shared" si="3"/>
        <v>-1051</v>
      </c>
      <c r="H30" s="576">
        <v>101</v>
      </c>
      <c r="I30" s="576">
        <v>-133</v>
      </c>
      <c r="J30" s="576">
        <v>-2468</v>
      </c>
      <c r="K30" s="576">
        <v>-167</v>
      </c>
      <c r="L30" s="575">
        <f t="shared" si="4"/>
        <v>-2667</v>
      </c>
      <c r="M30" s="576">
        <v>150</v>
      </c>
      <c r="N30" s="576">
        <v>-513</v>
      </c>
      <c r="O30" s="576">
        <v>-1482</v>
      </c>
      <c r="P30" s="576">
        <v>-525</v>
      </c>
      <c r="Q30" s="575">
        <f t="shared" si="5"/>
        <v>-2370</v>
      </c>
      <c r="R30" s="576">
        <v>-996</v>
      </c>
    </row>
    <row r="31" spans="2:18" ht="15" customHeight="1">
      <c r="B31" s="574" t="s">
        <v>193</v>
      </c>
      <c r="C31" s="237">
        <f>SUM(C24:C30)</f>
        <v>-2946</v>
      </c>
      <c r="D31" s="237">
        <f>SUM(D24:D30)</f>
        <v>-10800</v>
      </c>
      <c r="E31" s="237">
        <f>SUM(E24:E30)</f>
        <v>-7150</v>
      </c>
      <c r="F31" s="237">
        <f>SUM(F24:F30)</f>
        <v>-6167</v>
      </c>
      <c r="G31" s="237">
        <f t="shared" si="3"/>
        <v>-27063</v>
      </c>
      <c r="H31" s="237">
        <f>SUM(H24:H30)</f>
        <v>-8564</v>
      </c>
      <c r="I31" s="237">
        <f>SUM(I24:I30)</f>
        <v>-2781</v>
      </c>
      <c r="J31" s="237">
        <f>SUM(J24:J30)</f>
        <v>-18011</v>
      </c>
      <c r="K31" s="237">
        <f>SUM(K24:K30)</f>
        <v>-16180</v>
      </c>
      <c r="L31" s="237">
        <f t="shared" si="4"/>
        <v>-45536</v>
      </c>
      <c r="M31" s="237">
        <f>SUM(M24:M30)</f>
        <v>-16194</v>
      </c>
      <c r="N31" s="237">
        <f>SUM(N24:N30)</f>
        <v>-24544</v>
      </c>
      <c r="O31" s="237">
        <f>SUM(O24:O30)</f>
        <v>-27777</v>
      </c>
      <c r="P31" s="237">
        <f>SUM(P24:P30)</f>
        <v>-51776</v>
      </c>
      <c r="Q31" s="237">
        <f t="shared" si="5"/>
        <v>-120291</v>
      </c>
      <c r="R31" s="237">
        <f>SUM(R24:R30)</f>
        <v>-63389</v>
      </c>
    </row>
    <row r="33" spans="2:18" ht="15" customHeight="1">
      <c r="B33" s="574" t="s">
        <v>194</v>
      </c>
    </row>
    <row r="34" spans="2:18" ht="15" customHeight="1">
      <c r="B34" s="573" t="s">
        <v>403</v>
      </c>
      <c r="C34" s="576">
        <v>-1989</v>
      </c>
      <c r="D34" s="576">
        <v>-2736</v>
      </c>
      <c r="E34" s="576">
        <v>-2432</v>
      </c>
      <c r="F34" s="576">
        <v>-2680</v>
      </c>
      <c r="G34" s="575">
        <f t="shared" ref="G34:G41" si="6">SUM(C34:F34)</f>
        <v>-9837</v>
      </c>
      <c r="H34" s="576">
        <v>-2929</v>
      </c>
      <c r="I34" s="576">
        <v>-3209</v>
      </c>
      <c r="J34" s="576">
        <v>-3003</v>
      </c>
      <c r="K34" s="576">
        <v>-3049</v>
      </c>
      <c r="L34" s="575">
        <f t="shared" ref="L34:L41" si="7">SUM(H34:K34)</f>
        <v>-12190</v>
      </c>
      <c r="M34" s="576">
        <v>-3110</v>
      </c>
      <c r="N34" s="576">
        <v>-2621</v>
      </c>
      <c r="O34" s="576">
        <v>-3270</v>
      </c>
      <c r="P34" s="576">
        <v>-5166</v>
      </c>
      <c r="Q34" s="575">
        <f t="shared" ref="Q34:Q41" si="8">SUM(M34:P34)</f>
        <v>-14167</v>
      </c>
      <c r="R34" s="576">
        <v>-5483</v>
      </c>
    </row>
    <row r="35" spans="2:18" ht="15" customHeight="1">
      <c r="B35" s="573" t="s">
        <v>404</v>
      </c>
      <c r="C35" s="576">
        <v>-14557</v>
      </c>
      <c r="D35" s="576">
        <v>-14969</v>
      </c>
      <c r="E35" s="576">
        <v>-15787</v>
      </c>
      <c r="F35" s="576">
        <v>-16191</v>
      </c>
      <c r="G35" s="575">
        <f t="shared" si="6"/>
        <v>-61504</v>
      </c>
      <c r="H35" s="576">
        <v>-15696</v>
      </c>
      <c r="I35" s="576">
        <v>-15684</v>
      </c>
      <c r="J35" s="576">
        <v>-15291</v>
      </c>
      <c r="K35" s="576">
        <v>-15551</v>
      </c>
      <c r="L35" s="575">
        <f t="shared" si="7"/>
        <v>-62222</v>
      </c>
      <c r="M35" s="576">
        <v>-15068</v>
      </c>
      <c r="N35" s="576">
        <v>-13638</v>
      </c>
      <c r="O35" s="576">
        <v>-11504</v>
      </c>
      <c r="P35" s="576">
        <v>-5499</v>
      </c>
      <c r="Q35" s="575">
        <f t="shared" si="8"/>
        <v>-45709</v>
      </c>
      <c r="R35" s="576">
        <v>0</v>
      </c>
    </row>
    <row r="36" spans="2:18" ht="15" customHeight="1">
      <c r="B36" s="573" t="s">
        <v>405</v>
      </c>
      <c r="C36" s="576">
        <v>0</v>
      </c>
      <c r="D36" s="576">
        <v>0</v>
      </c>
      <c r="E36" s="576">
        <v>0</v>
      </c>
      <c r="F36" s="576">
        <v>0</v>
      </c>
      <c r="G36" s="575">
        <f t="shared" si="6"/>
        <v>0</v>
      </c>
      <c r="H36" s="576">
        <v>0</v>
      </c>
      <c r="I36" s="576">
        <v>-2466</v>
      </c>
      <c r="J36" s="576">
        <v>-2455</v>
      </c>
      <c r="K36" s="576">
        <v>-2442</v>
      </c>
      <c r="L36" s="575">
        <f t="shared" si="7"/>
        <v>-7363</v>
      </c>
      <c r="M36" s="576">
        <v>-2434</v>
      </c>
      <c r="N36" s="576">
        <v>-2543</v>
      </c>
      <c r="O36" s="576">
        <v>-2536</v>
      </c>
      <c r="P36" s="576">
        <v>-2536</v>
      </c>
      <c r="Q36" s="575">
        <f t="shared" si="8"/>
        <v>-10049</v>
      </c>
      <c r="R36" s="576">
        <v>-2542</v>
      </c>
    </row>
    <row r="37" spans="2:18" ht="15" customHeight="1">
      <c r="B37" s="573" t="s">
        <v>406</v>
      </c>
      <c r="C37" s="576">
        <v>6927</v>
      </c>
      <c r="D37" s="576">
        <v>1123</v>
      </c>
      <c r="E37" s="576">
        <v>1248</v>
      </c>
      <c r="F37" s="576">
        <v>1492</v>
      </c>
      <c r="G37" s="575">
        <f t="shared" si="6"/>
        <v>10790</v>
      </c>
      <c r="H37" s="576">
        <v>1982</v>
      </c>
      <c r="I37" s="576">
        <v>2893</v>
      </c>
      <c r="J37" s="576">
        <v>3819</v>
      </c>
      <c r="K37" s="576">
        <v>4895</v>
      </c>
      <c r="L37" s="575">
        <f t="shared" si="7"/>
        <v>13589</v>
      </c>
      <c r="M37" s="576">
        <v>4532</v>
      </c>
      <c r="N37" s="576">
        <v>26846</v>
      </c>
      <c r="O37" s="576">
        <v>6624</v>
      </c>
      <c r="P37" s="576">
        <v>26562</v>
      </c>
      <c r="Q37" s="575">
        <f t="shared" si="8"/>
        <v>64564</v>
      </c>
      <c r="R37" s="576">
        <v>31379</v>
      </c>
    </row>
    <row r="38" spans="2:18" ht="15" customHeight="1">
      <c r="B38" s="573" t="s">
        <v>407</v>
      </c>
      <c r="C38" s="576">
        <v>-6952</v>
      </c>
      <c r="D38" s="576">
        <v>-1255</v>
      </c>
      <c r="E38" s="576">
        <v>-1414</v>
      </c>
      <c r="F38" s="576">
        <v>-1929</v>
      </c>
      <c r="G38" s="575">
        <f t="shared" si="6"/>
        <v>-11550</v>
      </c>
      <c r="H38" s="576">
        <v>-3079</v>
      </c>
      <c r="I38" s="576">
        <v>-2423</v>
      </c>
      <c r="J38" s="576">
        <v>-3449</v>
      </c>
      <c r="K38" s="576">
        <v>-3750</v>
      </c>
      <c r="L38" s="575">
        <f t="shared" si="7"/>
        <v>-12701</v>
      </c>
      <c r="M38" s="576">
        <v>-4521</v>
      </c>
      <c r="N38" s="576">
        <v>-13876</v>
      </c>
      <c r="O38" s="576">
        <v>-7697</v>
      </c>
      <c r="P38" s="576">
        <v>-6333</v>
      </c>
      <c r="Q38" s="575">
        <f t="shared" si="8"/>
        <v>-32427</v>
      </c>
      <c r="R38" s="576">
        <v>-1477</v>
      </c>
    </row>
    <row r="39" spans="2:18" ht="15" customHeight="1">
      <c r="B39" s="573" t="s">
        <v>408</v>
      </c>
      <c r="C39" s="576">
        <v>3</v>
      </c>
      <c r="D39" s="576">
        <v>2</v>
      </c>
      <c r="E39" s="576">
        <v>3</v>
      </c>
      <c r="F39" s="576">
        <v>0</v>
      </c>
      <c r="G39" s="575">
        <f t="shared" si="6"/>
        <v>8</v>
      </c>
      <c r="H39" s="576">
        <v>8</v>
      </c>
      <c r="I39" s="576">
        <v>0</v>
      </c>
      <c r="J39" s="576">
        <v>285</v>
      </c>
      <c r="K39" s="576">
        <v>861</v>
      </c>
      <c r="L39" s="575">
        <f t="shared" si="7"/>
        <v>1154</v>
      </c>
      <c r="M39" s="576">
        <v>400</v>
      </c>
      <c r="N39" s="576">
        <v>0</v>
      </c>
      <c r="O39" s="576">
        <v>0</v>
      </c>
      <c r="P39" s="576">
        <v>0</v>
      </c>
      <c r="Q39" s="575">
        <f t="shared" si="8"/>
        <v>400</v>
      </c>
      <c r="R39" s="576">
        <v>3200</v>
      </c>
    </row>
    <row r="40" spans="2:18" ht="15" customHeight="1">
      <c r="B40" s="574" t="s">
        <v>409</v>
      </c>
      <c r="C40" s="237">
        <f>SUM(C34:C39)</f>
        <v>-16568</v>
      </c>
      <c r="D40" s="237">
        <f>SUM(D34:D39)</f>
        <v>-17835</v>
      </c>
      <c r="E40" s="237">
        <f>SUM(E34:E39)</f>
        <v>-18382</v>
      </c>
      <c r="F40" s="237">
        <f>SUM(F34:F39)</f>
        <v>-19308</v>
      </c>
      <c r="G40" s="237">
        <f t="shared" si="6"/>
        <v>-72093</v>
      </c>
      <c r="H40" s="237">
        <f>SUM(H34:H39)</f>
        <v>-19714</v>
      </c>
      <c r="I40" s="237">
        <f>SUM(I34:I39)</f>
        <v>-20889</v>
      </c>
      <c r="J40" s="237">
        <f>SUM(J34:J39)</f>
        <v>-20094</v>
      </c>
      <c r="K40" s="237">
        <f>SUM(K34:K39)</f>
        <v>-19036</v>
      </c>
      <c r="L40" s="237">
        <f t="shared" si="7"/>
        <v>-79733</v>
      </c>
      <c r="M40" s="237">
        <f>SUM(M34:M39)</f>
        <v>-20201</v>
      </c>
      <c r="N40" s="237">
        <f>SUM(N34:N39)</f>
        <v>-5832</v>
      </c>
      <c r="O40" s="237">
        <f>SUM(O34:O39)</f>
        <v>-18383</v>
      </c>
      <c r="P40" s="237">
        <f>SUM(P34:P39)</f>
        <v>7028</v>
      </c>
      <c r="Q40" s="237">
        <f t="shared" si="8"/>
        <v>-37388</v>
      </c>
      <c r="R40" s="237">
        <f>SUM(R34:R39)</f>
        <v>25077</v>
      </c>
    </row>
    <row r="41" spans="2:18" ht="15" customHeight="1">
      <c r="B41" s="573" t="s">
        <v>410</v>
      </c>
      <c r="C41" s="576">
        <v>50</v>
      </c>
      <c r="D41" s="576">
        <v>-26</v>
      </c>
      <c r="E41" s="576">
        <v>-351</v>
      </c>
      <c r="F41" s="576">
        <v>-94</v>
      </c>
      <c r="G41" s="575">
        <f t="shared" si="6"/>
        <v>-421</v>
      </c>
      <c r="H41" s="576">
        <v>-125</v>
      </c>
      <c r="I41" s="576">
        <v>-238</v>
      </c>
      <c r="J41" s="576">
        <v>141</v>
      </c>
      <c r="K41" s="576">
        <v>-390</v>
      </c>
      <c r="L41" s="575">
        <f t="shared" si="7"/>
        <v>-612</v>
      </c>
      <c r="M41" s="576">
        <v>43</v>
      </c>
      <c r="N41" s="576">
        <v>401</v>
      </c>
      <c r="O41" s="576">
        <v>-200</v>
      </c>
      <c r="P41" s="576">
        <v>-36</v>
      </c>
      <c r="Q41" s="575">
        <f t="shared" si="8"/>
        <v>208</v>
      </c>
      <c r="R41" s="576">
        <v>-123</v>
      </c>
    </row>
    <row r="43" spans="2:18" ht="15" customHeight="1">
      <c r="B43" s="574" t="s">
        <v>204</v>
      </c>
      <c r="C43" s="237">
        <f>C21+C31+C40+C41</f>
        <v>4045</v>
      </c>
      <c r="D43" s="237">
        <f>D21+D31+D40+D41</f>
        <v>5</v>
      </c>
      <c r="E43" s="237">
        <f>E21+E31+E40+E41</f>
        <v>4773</v>
      </c>
      <c r="F43" s="237">
        <f>F21+F31+F40+F41</f>
        <v>-6654</v>
      </c>
      <c r="G43" s="237">
        <f>SUM(C43:F43)</f>
        <v>2169</v>
      </c>
      <c r="H43" s="237">
        <f>H21+H31+H40+H41</f>
        <v>445</v>
      </c>
      <c r="I43" s="237">
        <f>I21+I31+I40+I41</f>
        <v>2732</v>
      </c>
      <c r="J43" s="237">
        <f>J21+J31+J40+J41</f>
        <v>-7266</v>
      </c>
      <c r="K43" s="237">
        <f>K21+K31+K40+K41</f>
        <v>3507</v>
      </c>
      <c r="L43" s="237">
        <f>SUM(H43:K43)</f>
        <v>-582</v>
      </c>
      <c r="M43" s="237">
        <f>M21+M31+M40+M41</f>
        <v>-202</v>
      </c>
      <c r="N43" s="237">
        <f>N21+N31+N40+N41</f>
        <v>-2228</v>
      </c>
      <c r="O43" s="237">
        <f>O21+O31+O40+O41</f>
        <v>2054</v>
      </c>
      <c r="P43" s="237">
        <f>P21+P31+P40+P41</f>
        <v>7618</v>
      </c>
      <c r="Q43" s="237">
        <f>SUM(M43:P43)</f>
        <v>7242</v>
      </c>
      <c r="R43" s="237">
        <f>R21+R31+R40+R41</f>
        <v>7355</v>
      </c>
    </row>
    <row r="44" spans="2:18" ht="15" customHeight="1">
      <c r="B44" s="573" t="s">
        <v>205</v>
      </c>
      <c r="C44" s="576">
        <v>21879</v>
      </c>
      <c r="D44" s="575">
        <f>C45</f>
        <v>25924</v>
      </c>
      <c r="E44" s="575">
        <f>D45</f>
        <v>25929</v>
      </c>
      <c r="F44" s="575">
        <f>E45</f>
        <v>30702</v>
      </c>
      <c r="G44" s="575">
        <f>C44</f>
        <v>21879</v>
      </c>
      <c r="H44" s="575">
        <f>F45</f>
        <v>24048</v>
      </c>
      <c r="I44" s="575">
        <f>H45</f>
        <v>24493</v>
      </c>
      <c r="J44" s="575">
        <f>I45</f>
        <v>27225</v>
      </c>
      <c r="K44" s="575">
        <f>J45</f>
        <v>19959</v>
      </c>
      <c r="L44" s="575">
        <f>H44</f>
        <v>24048</v>
      </c>
      <c r="M44" s="575">
        <f>K45</f>
        <v>23466</v>
      </c>
      <c r="N44" s="575">
        <f>M45</f>
        <v>23264</v>
      </c>
      <c r="O44" s="575">
        <f>N45</f>
        <v>21036</v>
      </c>
      <c r="P44" s="575">
        <f>O45</f>
        <v>23090</v>
      </c>
      <c r="Q44" s="575">
        <f>M44</f>
        <v>23466</v>
      </c>
      <c r="R44" s="575">
        <f>P45</f>
        <v>30708</v>
      </c>
    </row>
    <row r="45" spans="2:18" ht="15" customHeight="1">
      <c r="B45" s="574" t="s">
        <v>206</v>
      </c>
      <c r="C45" s="237">
        <f>C44+C43</f>
        <v>25924</v>
      </c>
      <c r="D45" s="237">
        <f>D44+D43</f>
        <v>25929</v>
      </c>
      <c r="E45" s="237">
        <f>E44+E43</f>
        <v>30702</v>
      </c>
      <c r="F45" s="237">
        <f>F44+F43</f>
        <v>24048</v>
      </c>
      <c r="G45" s="237">
        <f>744+743</f>
        <v>1487</v>
      </c>
      <c r="H45" s="237">
        <f>H44+H43</f>
        <v>24493</v>
      </c>
      <c r="I45" s="237">
        <f>I44+I43</f>
        <v>27225</v>
      </c>
      <c r="J45" s="237">
        <f>J44+J43</f>
        <v>19959</v>
      </c>
      <c r="K45" s="237">
        <f>K44+K43</f>
        <v>23466</v>
      </c>
      <c r="L45" s="237">
        <f>1244+1243</f>
        <v>2487</v>
      </c>
      <c r="M45" s="237">
        <f>M44+M43</f>
        <v>23264</v>
      </c>
      <c r="N45" s="237">
        <f>N44+N43</f>
        <v>21036</v>
      </c>
      <c r="O45" s="237">
        <f>O44+O43</f>
        <v>23090</v>
      </c>
      <c r="P45" s="237">
        <f>P44+P43</f>
        <v>30708</v>
      </c>
      <c r="Q45" s="237">
        <f>1744+1743</f>
        <v>3487</v>
      </c>
      <c r="R45" s="237">
        <f>R44+R43</f>
        <v>38063</v>
      </c>
    </row>
  </sheetData>
  <mergeCells count="3">
    <mergeCell ref="C2:G2"/>
    <mergeCell ref="H2:L2"/>
    <mergeCell ref="M2:Q2"/>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R28"/>
  <sheetViews>
    <sheetView zoomScaleNormal="100" workbookViewId="0">
      <pane xSplit="2" ySplit="3" topLeftCell="C4" activePane="bottomRight" state="frozen"/>
      <selection pane="bottomRight" activeCell="H18" sqref="H18"/>
      <selection pane="bottomLeft" activeCell="A4" sqref="A4"/>
      <selection pane="topRight" activeCell="C1" sqref="C1"/>
    </sheetView>
  </sheetViews>
  <sheetFormatPr defaultColWidth="8.5" defaultRowHeight="14.25"/>
  <cols>
    <col min="1" max="1" width="2" customWidth="1"/>
    <col min="2" max="2" width="30" customWidth="1"/>
    <col min="3" max="18" width="9.625" customWidth="1"/>
  </cols>
  <sheetData>
    <row r="1" spans="2:18" ht="15" customHeight="1">
      <c r="B1" s="570" t="s">
        <v>411</v>
      </c>
    </row>
    <row r="2" spans="2:18" ht="15" customHeight="1">
      <c r="C2" s="760" t="s">
        <v>343</v>
      </c>
      <c r="D2" s="760"/>
      <c r="E2" s="760"/>
      <c r="F2" s="760"/>
      <c r="G2" s="760"/>
      <c r="H2" s="760" t="s">
        <v>344</v>
      </c>
      <c r="I2" s="760"/>
      <c r="J2" s="760"/>
      <c r="K2" s="760"/>
      <c r="L2" s="760"/>
      <c r="M2" s="760" t="s">
        <v>345</v>
      </c>
      <c r="N2" s="760"/>
      <c r="O2" s="760"/>
      <c r="P2" s="760"/>
      <c r="Q2" s="760"/>
      <c r="R2" s="571" t="s">
        <v>243</v>
      </c>
    </row>
    <row r="3" spans="2:18" ht="15" customHeight="1">
      <c r="C3" s="572" t="s">
        <v>346</v>
      </c>
      <c r="D3" s="572" t="s">
        <v>347</v>
      </c>
      <c r="E3" s="572" t="s">
        <v>348</v>
      </c>
      <c r="F3" s="572" t="s">
        <v>349</v>
      </c>
      <c r="G3" s="572" t="s">
        <v>350</v>
      </c>
      <c r="H3" s="572" t="s">
        <v>346</v>
      </c>
      <c r="I3" s="572" t="s">
        <v>347</v>
      </c>
      <c r="J3" s="572" t="s">
        <v>348</v>
      </c>
      <c r="K3" s="572" t="s">
        <v>349</v>
      </c>
      <c r="L3" s="572" t="s">
        <v>350</v>
      </c>
      <c r="M3" s="572" t="s">
        <v>346</v>
      </c>
      <c r="N3" s="572" t="s">
        <v>347</v>
      </c>
      <c r="O3" s="572" t="s">
        <v>348</v>
      </c>
      <c r="P3" s="572" t="s">
        <v>349</v>
      </c>
      <c r="Q3" s="572" t="s">
        <v>350</v>
      </c>
      <c r="R3" s="572" t="s">
        <v>346</v>
      </c>
    </row>
    <row r="5" spans="2:18" ht="15" customHeight="1">
      <c r="B5" s="574" t="s">
        <v>207</v>
      </c>
      <c r="C5" s="237">
        <f>C6+C7+C8+C9</f>
        <v>27225</v>
      </c>
      <c r="D5" s="237">
        <f>D6+D7+D8+D9</f>
        <v>32821</v>
      </c>
      <c r="E5" s="237">
        <f>E6+E7+E8+E9</f>
        <v>31899</v>
      </c>
      <c r="F5" s="237">
        <f>F6+F7+F8+F9</f>
        <v>19189</v>
      </c>
      <c r="H5" s="237">
        <f>H6+H7+H8+H9</f>
        <v>30755</v>
      </c>
      <c r="I5" s="237">
        <f>I6+I7+I8+I9</f>
        <v>30219</v>
      </c>
      <c r="J5" s="237">
        <f>J6+J7+J8+J9</f>
        <v>35981</v>
      </c>
      <c r="K5" s="237">
        <f>K6+K7+K8+K9</f>
        <v>41127</v>
      </c>
      <c r="M5" s="237">
        <f>M6+M7+M8+M9</f>
        <v>48405</v>
      </c>
      <c r="N5" s="237">
        <f>N6+N7+N8+N9</f>
        <v>30504</v>
      </c>
      <c r="O5" s="237">
        <f>O6+O7+O8+O9</f>
        <v>54815</v>
      </c>
      <c r="P5" s="237">
        <f>P6+P7+P8+P9</f>
        <v>47017</v>
      </c>
      <c r="R5" s="237">
        <f>R6+R7+R8+R9</f>
        <v>76536</v>
      </c>
    </row>
    <row r="6" spans="2:18" ht="15" customHeight="1">
      <c r="B6" s="573" t="s">
        <v>78</v>
      </c>
      <c r="C6" s="577">
        <f>'Q - Income Statement'!H20</f>
        <v>15051</v>
      </c>
      <c r="D6" s="577">
        <f>'Q - Income Statement'!I20</f>
        <v>18368</v>
      </c>
      <c r="E6" s="577">
        <f>'Q - Income Statement'!J20</f>
        <v>19689</v>
      </c>
      <c r="F6" s="577">
        <f>'Q - Income Statement'!K20</f>
        <v>20687</v>
      </c>
      <c r="H6" s="577">
        <f>'Q - Income Statement'!M20</f>
        <v>23662</v>
      </c>
      <c r="I6" s="577">
        <f>'Q - Income Statement'!N20</f>
        <v>23619</v>
      </c>
      <c r="J6" s="577">
        <f>'Q - Income Statement'!O20</f>
        <v>26301</v>
      </c>
      <c r="K6" s="577">
        <f>'Q - Income Statement'!P20</f>
        <v>26536</v>
      </c>
      <c r="M6" s="577">
        <f>'Q - Income Statement'!R20</f>
        <v>34540</v>
      </c>
      <c r="N6" s="577">
        <f>'Q - Income Statement'!S20</f>
        <v>28196</v>
      </c>
      <c r="O6" s="577">
        <f>'Q - Income Statement'!T20</f>
        <v>34979</v>
      </c>
      <c r="P6" s="577">
        <f>'Q - Income Statement'!U20</f>
        <v>34455</v>
      </c>
      <c r="R6" s="577">
        <f>'Q - Income Statement'!W20</f>
        <v>62578</v>
      </c>
    </row>
    <row r="7" spans="2:18" ht="15" customHeight="1">
      <c r="B7" s="573" t="s">
        <v>208</v>
      </c>
      <c r="C7" s="577">
        <f>'Q - CFS Historical'!C8</f>
        <v>3186</v>
      </c>
      <c r="D7" s="577">
        <f>'Q - CFS Historical'!D8</f>
        <v>3397</v>
      </c>
      <c r="E7" s="577">
        <f>'Q - CFS Historical'!E8</f>
        <v>3800</v>
      </c>
      <c r="F7" s="577">
        <f>'Q - CFS Historical'!F8</f>
        <v>1563</v>
      </c>
      <c r="H7" s="577">
        <f>'Q - CFS Historical'!H8</f>
        <v>3413</v>
      </c>
      <c r="I7" s="577">
        <f>'Q - CFS Historical'!I8</f>
        <v>3708</v>
      </c>
      <c r="J7" s="577">
        <f>'Q - CFS Historical'!J8</f>
        <v>3985</v>
      </c>
      <c r="K7" s="577">
        <f>'Q - CFS Historical'!K8</f>
        <v>4205</v>
      </c>
      <c r="M7" s="577">
        <f>'Q - CFS Historical'!M8</f>
        <v>4487</v>
      </c>
      <c r="N7" s="577">
        <f>'Q - CFS Historical'!N8</f>
        <v>4998</v>
      </c>
      <c r="O7" s="577">
        <f>'Q - CFS Historical'!O8</f>
        <v>5611</v>
      </c>
      <c r="P7" s="577">
        <f>'Q - CFS Historical'!P8</f>
        <v>6040</v>
      </c>
      <c r="R7" s="577">
        <f>'Q - CFS Historical'!R8</f>
        <v>6482</v>
      </c>
    </row>
    <row r="8" spans="2:18" ht="15" customHeight="1">
      <c r="B8" s="573" t="s">
        <v>260</v>
      </c>
      <c r="C8" s="577">
        <f>-'Q - BS'!C41</f>
        <v>3704</v>
      </c>
      <c r="D8" s="577">
        <f>-'Q - BS'!D41</f>
        <v>5282</v>
      </c>
      <c r="E8" s="577">
        <f>-'Q - BS'!E41</f>
        <v>2667</v>
      </c>
      <c r="F8" s="577">
        <f>-'Q - BS'!F41</f>
        <v>-8720</v>
      </c>
      <c r="H8" s="577">
        <f>-'Q - BS'!G41</f>
        <v>-1584</v>
      </c>
      <c r="I8" s="577">
        <f>-'Q - BS'!H41</f>
        <v>-2973</v>
      </c>
      <c r="J8" s="577">
        <f>-'Q - BS'!I41</f>
        <v>-151</v>
      </c>
      <c r="K8" s="577">
        <f>-'Q - BS'!J41</f>
        <v>4576</v>
      </c>
      <c r="M8" s="577">
        <f>-'Q - BS'!K41</f>
        <v>3862</v>
      </c>
      <c r="N8" s="577">
        <f>-'Q - BS'!L41</f>
        <v>-8688</v>
      </c>
      <c r="O8" s="577">
        <f>-'Q - BS'!M41</f>
        <v>7857</v>
      </c>
      <c r="P8" s="577">
        <f>-'Q - BS'!N41</f>
        <v>-549</v>
      </c>
      <c r="R8" s="577">
        <f>-'Q - BS'!O41</f>
        <v>725</v>
      </c>
    </row>
    <row r="9" spans="2:18" ht="15" customHeight="1">
      <c r="B9" s="573" t="s">
        <v>210</v>
      </c>
      <c r="C9" s="577">
        <f>'Q - CFS Historical'!C9</f>
        <v>5284</v>
      </c>
      <c r="D9" s="577">
        <f>'Q - CFS Historical'!D9</f>
        <v>5774</v>
      </c>
      <c r="E9" s="577">
        <f>'Q - CFS Historical'!E9</f>
        <v>5743</v>
      </c>
      <c r="F9" s="577">
        <f>'Q - CFS Historical'!F9</f>
        <v>5659</v>
      </c>
      <c r="H9" s="577">
        <f>'Q - CFS Historical'!H9</f>
        <v>5264</v>
      </c>
      <c r="I9" s="577">
        <f>'Q - CFS Historical'!I9</f>
        <v>5865</v>
      </c>
      <c r="J9" s="577">
        <f>'Q - CFS Historical'!J9</f>
        <v>5846</v>
      </c>
      <c r="K9" s="577">
        <f>'Q - CFS Historical'!K9</f>
        <v>5810</v>
      </c>
      <c r="M9" s="577">
        <f>'Q - CFS Historical'!M9</f>
        <v>5516</v>
      </c>
      <c r="N9" s="577">
        <f>'Q - CFS Historical'!N9</f>
        <v>5998</v>
      </c>
      <c r="O9" s="577">
        <f>'Q - CFS Historical'!O9</f>
        <v>6368</v>
      </c>
      <c r="P9" s="577">
        <f>'Q - CFS Historical'!P9</f>
        <v>7071</v>
      </c>
      <c r="R9" s="577">
        <f>'Q - CFS Historical'!R9</f>
        <v>6751</v>
      </c>
    </row>
    <row r="11" spans="2:18" ht="15" customHeight="1">
      <c r="B11" s="574" t="s">
        <v>212</v>
      </c>
      <c r="C11" s="237">
        <f>C12+C13</f>
        <v>-5613</v>
      </c>
      <c r="D11" s="237">
        <f>D12+D13</f>
        <v>-3659</v>
      </c>
      <c r="E11" s="237">
        <f>E12+E13</f>
        <v>-4180</v>
      </c>
      <c r="F11" s="237">
        <f>F12+F13</f>
        <v>-8741</v>
      </c>
      <c r="H11" s="237">
        <f>H12+H13</f>
        <v>-11823</v>
      </c>
      <c r="I11" s="237">
        <f>I12+I13</f>
        <v>-8151</v>
      </c>
      <c r="J11" s="237">
        <f>J12+J13</f>
        <v>-12120</v>
      </c>
      <c r="K11" s="237">
        <f>K12+K13</f>
        <v>-11571</v>
      </c>
      <c r="M11" s="237">
        <f>M12+M13</f>
        <v>-27073</v>
      </c>
      <c r="N11" s="237">
        <f>N12+N13</f>
        <v>-19714</v>
      </c>
      <c r="O11" s="237">
        <f>O12+O13</f>
        <v>-31782</v>
      </c>
      <c r="P11" s="237">
        <f>P12+P13</f>
        <v>-27697</v>
      </c>
      <c r="R11" s="237">
        <f>R12+R13</f>
        <v>-72682</v>
      </c>
    </row>
    <row r="12" spans="2:18" ht="15" customHeight="1">
      <c r="B12" s="573" t="s">
        <v>213</v>
      </c>
      <c r="C12" s="575">
        <f>-('Q - BS'!C14-BS!F15)</f>
        <v>-721</v>
      </c>
      <c r="D12" s="575">
        <f>-('Q - BS'!D14-'Q - BS'!C14)</f>
        <v>-11</v>
      </c>
      <c r="E12" s="575">
        <f>-('Q - BS'!E14-'Q - BS'!D14)</f>
        <v>317</v>
      </c>
      <c r="F12" s="575">
        <f>-('Q - BS'!F14-'Q - BS'!E14)</f>
        <v>-101</v>
      </c>
      <c r="H12" s="575">
        <f>-('Q - BS'!G14-'Q - BS'!F14)</f>
        <v>-2986</v>
      </c>
      <c r="I12" s="575">
        <f>-('Q - BS'!H14-'Q - BS'!G14)</f>
        <v>-178</v>
      </c>
      <c r="J12" s="575">
        <f>-('Q - BS'!I14-'Q - BS'!H14)</f>
        <v>-2005</v>
      </c>
      <c r="K12" s="575">
        <f>-('Q - BS'!J14-'Q - BS'!I14)</f>
        <v>-1805</v>
      </c>
      <c r="M12" s="575">
        <f>-('Q - BS'!K14-'Q - BS'!J14)</f>
        <v>-13047</v>
      </c>
      <c r="N12" s="575">
        <f>-('Q - BS'!L14-'Q - BS'!K14)</f>
        <v>-1545</v>
      </c>
      <c r="O12" s="575">
        <f>-('Q - BS'!M14-'Q - BS'!L14)</f>
        <v>-11226</v>
      </c>
      <c r="P12" s="575">
        <f>-('Q - BS'!N14-'Q - BS'!M14)</f>
        <v>-4887</v>
      </c>
      <c r="R12" s="575">
        <f>-('Q - BS'!O14-'Q - BS'!N14)</f>
        <v>-38259</v>
      </c>
    </row>
    <row r="13" spans="2:18" ht="15" customHeight="1">
      <c r="B13" s="573" t="s">
        <v>214</v>
      </c>
      <c r="C13" s="575">
        <f>-('Q - BS'!C15-BS!F16)</f>
        <v>-4892</v>
      </c>
      <c r="D13" s="575">
        <f>-('Q - BS'!D15-'Q - BS'!C15)</f>
        <v>-3648</v>
      </c>
      <c r="E13" s="575">
        <f>-('Q - BS'!E15-'Q - BS'!D15)</f>
        <v>-4497</v>
      </c>
      <c r="F13" s="575">
        <f>-('Q - BS'!F15-'Q - BS'!E15)</f>
        <v>-8640</v>
      </c>
      <c r="H13" s="575">
        <f>-('Q - BS'!G15-'Q - BS'!F15)</f>
        <v>-8837</v>
      </c>
      <c r="I13" s="575">
        <f>-('Q - BS'!H15-'Q - BS'!G15)</f>
        <v>-7973</v>
      </c>
      <c r="J13" s="575">
        <f>-('Q - BS'!I15-'Q - BS'!H15)</f>
        <v>-10115</v>
      </c>
      <c r="K13" s="575">
        <f>-('Q - BS'!J15-'Q - BS'!I15)</f>
        <v>-9766</v>
      </c>
      <c r="M13" s="575">
        <f>-('Q - BS'!K15-'Q - BS'!J15)</f>
        <v>-14026</v>
      </c>
      <c r="N13" s="575">
        <f>-('Q - BS'!L15-'Q - BS'!K15)</f>
        <v>-18169</v>
      </c>
      <c r="O13" s="575">
        <f>-('Q - BS'!M15-'Q - BS'!L15)</f>
        <v>-20556</v>
      </c>
      <c r="P13" s="575">
        <f>-('Q - BS'!N15-'Q - BS'!M15)</f>
        <v>-22810</v>
      </c>
      <c r="R13" s="575">
        <f>-('Q - BS'!O15-'Q - BS'!N15)</f>
        <v>-34423</v>
      </c>
    </row>
    <row r="15" spans="2:18" ht="15" customHeight="1">
      <c r="B15" s="574" t="s">
        <v>215</v>
      </c>
      <c r="C15" s="237">
        <f>SUM(C16:C20)</f>
        <v>-15167</v>
      </c>
      <c r="D15" s="237">
        <f>SUM(D16:D20)</f>
        <v>-15771</v>
      </c>
      <c r="E15" s="237">
        <f>SUM(E16:E20)</f>
        <v>-15996</v>
      </c>
      <c r="F15" s="237">
        <f>SUM(F16:F20)</f>
        <v>-17546</v>
      </c>
      <c r="H15" s="237">
        <f>SUM(H16:H20)</f>
        <v>-17774</v>
      </c>
      <c r="I15" s="237">
        <f>SUM(I16:I20)</f>
        <v>-19779</v>
      </c>
      <c r="J15" s="237">
        <f>SUM(J16:J20)</f>
        <v>-19446</v>
      </c>
      <c r="K15" s="237">
        <f>SUM(K16:K20)</f>
        <v>-19649</v>
      </c>
      <c r="M15" s="237">
        <f>SUM(M16:M20)</f>
        <v>-18697</v>
      </c>
      <c r="N15" s="237">
        <f>SUM(N16:N20)</f>
        <v>-3249</v>
      </c>
      <c r="O15" s="237">
        <f>SUM(O16:O20)</f>
        <v>-16744</v>
      </c>
      <c r="P15" s="237">
        <f>SUM(P16:P20)</f>
        <v>13808</v>
      </c>
      <c r="R15" s="237">
        <f>SUM(R16:R20)</f>
        <v>26944</v>
      </c>
    </row>
    <row r="16" spans="2:18" ht="15" customHeight="1">
      <c r="B16" s="573" t="s">
        <v>216</v>
      </c>
      <c r="C16" s="575">
        <f>'Q - BS'!C35-BS!F36</f>
        <v>2085</v>
      </c>
      <c r="D16" s="575">
        <f>'Q - BS'!D35-'Q - BS'!C35</f>
        <v>1979</v>
      </c>
      <c r="E16" s="575">
        <f>'Q - BS'!E35-'Q - BS'!D35</f>
        <v>2343</v>
      </c>
      <c r="F16" s="575">
        <f>'Q - BS'!F35-'Q - BS'!E35</f>
        <v>1943</v>
      </c>
      <c r="H16" s="575">
        <f>'Q - BS'!G35-'Q - BS'!F35</f>
        <v>1379</v>
      </c>
      <c r="I16" s="575">
        <f>'Q - BS'!H35-'Q - BS'!G35</f>
        <v>1819</v>
      </c>
      <c r="J16" s="575">
        <f>'Q - BS'!I35-'Q - BS'!H35</f>
        <v>2298</v>
      </c>
      <c r="K16" s="575">
        <f>'Q - BS'!J35-'Q - BS'!I35</f>
        <v>2770</v>
      </c>
      <c r="M16" s="575">
        <f>'Q - BS'!K35-'Q - BS'!J35</f>
        <v>1925</v>
      </c>
      <c r="N16" s="575">
        <f>'Q - BS'!L35-'Q - BS'!K35</f>
        <v>2558</v>
      </c>
      <c r="O16" s="575">
        <f>'Q - BS'!M35-'Q - BS'!L35</f>
        <v>2412</v>
      </c>
      <c r="P16" s="575">
        <f>'Q - BS'!N35-'Q - BS'!M35</f>
        <v>1431</v>
      </c>
      <c r="R16" s="575">
        <f>'Q - BS'!O35-'Q - BS'!N35</f>
        <v>3776</v>
      </c>
    </row>
    <row r="17" spans="2:18" ht="15" customHeight="1">
      <c r="B17" s="573" t="s">
        <v>412</v>
      </c>
      <c r="C17" s="575">
        <f>('Q - BS'!C29+'Q - BS'!C30)-(BS!F30+BS!F31)</f>
        <v>-706</v>
      </c>
      <c r="D17" s="575">
        <f>('Q - BS'!D29+'Q - BS'!D30)-('Q - BS'!C29+'Q - BS'!C30)</f>
        <v>-45</v>
      </c>
      <c r="E17" s="575">
        <f>('Q - BS'!E29+'Q - BS'!E30)-('Q - BS'!D29+'Q - BS'!D30)</f>
        <v>-120</v>
      </c>
      <c r="F17" s="575">
        <f>('Q - BS'!F29+'Q - BS'!F30)-('Q - BS'!E29+'Q - BS'!E30)</f>
        <v>-618</v>
      </c>
      <c r="H17" s="575">
        <f>('Q - BS'!G29+'Q - BS'!G30)-('Q - BS'!F29+'Q - BS'!F30)</f>
        <v>-528</v>
      </c>
      <c r="I17" s="575">
        <f>('Q - BS'!H29+'Q - BS'!H30)-('Q - BS'!G29+'Q - BS'!G30)</f>
        <v>-239</v>
      </c>
      <c r="J17" s="575">
        <f>('Q - BS'!I29+'Q - BS'!I30)-('Q - BS'!H29+'Q - BS'!H30)</f>
        <v>-995</v>
      </c>
      <c r="K17" s="575">
        <f>('Q - BS'!J29+'Q - BS'!J30)-('Q - BS'!I29+'Q - BS'!I30)</f>
        <v>-1377</v>
      </c>
      <c r="M17" s="575">
        <f>('Q - BS'!K29+'Q - BS'!K30)-('Q - BS'!J29+'Q - BS'!J30)</f>
        <v>-10</v>
      </c>
      <c r="N17" s="575">
        <f>('Q - BS'!L29+'Q - BS'!L30)-('Q - BS'!K29+'Q - BS'!K30)</f>
        <v>12995</v>
      </c>
      <c r="O17" s="575">
        <f>('Q - BS'!M29+'Q - BS'!M30)-('Q - BS'!L29+'Q - BS'!L30)</f>
        <v>-1846</v>
      </c>
      <c r="P17" s="575">
        <f>('Q - BS'!N29+'Q - BS'!N30)-('Q - BS'!M29+'Q - BS'!M30)</f>
        <v>25578</v>
      </c>
      <c r="R17" s="575">
        <f>('Q - BS'!O29+'Q - BS'!O30)-('Q - BS'!N29+'Q - BS'!N30)</f>
        <v>31193</v>
      </c>
    </row>
    <row r="18" spans="2:18" ht="15" customHeight="1">
      <c r="B18" s="573" t="s">
        <v>218</v>
      </c>
      <c r="C18" s="577">
        <f>'Q - CFS Historical'!C36</f>
        <v>0</v>
      </c>
      <c r="D18" s="577">
        <f>'Q - CFS Historical'!D36</f>
        <v>0</v>
      </c>
      <c r="E18" s="577">
        <f>'Q - CFS Historical'!E36</f>
        <v>0</v>
      </c>
      <c r="F18" s="577">
        <f>'Q - CFS Historical'!F36</f>
        <v>0</v>
      </c>
      <c r="H18" s="577">
        <f>'Q - CFS Historical'!H36</f>
        <v>0</v>
      </c>
      <c r="I18" s="577">
        <f>'Q - CFS Historical'!I36</f>
        <v>-2466</v>
      </c>
      <c r="J18" s="577">
        <f>'Q - CFS Historical'!J36</f>
        <v>-2455</v>
      </c>
      <c r="K18" s="577">
        <f>'Q - CFS Historical'!K36</f>
        <v>-2442</v>
      </c>
      <c r="M18" s="577">
        <f>'Q - CFS Historical'!M36</f>
        <v>-2434</v>
      </c>
      <c r="N18" s="577">
        <f>'Q - CFS Historical'!N36</f>
        <v>-2543</v>
      </c>
      <c r="O18" s="577">
        <f>'Q - CFS Historical'!O36</f>
        <v>-2536</v>
      </c>
      <c r="P18" s="577">
        <f>'Q - CFS Historical'!P36</f>
        <v>-2536</v>
      </c>
      <c r="R18" s="577">
        <f>'Q - CFS Historical'!R36</f>
        <v>-2542</v>
      </c>
    </row>
    <row r="19" spans="2:18" ht="15" customHeight="1">
      <c r="B19" s="573" t="s">
        <v>219</v>
      </c>
      <c r="C19" s="577">
        <f>'Q - CFS Historical'!C35</f>
        <v>-14557</v>
      </c>
      <c r="D19" s="577">
        <f>'Q - CFS Historical'!D35</f>
        <v>-14969</v>
      </c>
      <c r="E19" s="577">
        <f>'Q - CFS Historical'!E35</f>
        <v>-15787</v>
      </c>
      <c r="F19" s="577">
        <f>'Q - CFS Historical'!F35</f>
        <v>-16191</v>
      </c>
      <c r="H19" s="577">
        <f>'Q - CFS Historical'!H35</f>
        <v>-15696</v>
      </c>
      <c r="I19" s="577">
        <f>'Q - CFS Historical'!I35</f>
        <v>-15684</v>
      </c>
      <c r="J19" s="577">
        <f>'Q - CFS Historical'!J35</f>
        <v>-15291</v>
      </c>
      <c r="K19" s="577">
        <f>'Q - CFS Historical'!K35</f>
        <v>-15551</v>
      </c>
      <c r="M19" s="577">
        <f>'Q - CFS Historical'!M35</f>
        <v>-15068</v>
      </c>
      <c r="N19" s="577">
        <f>'Q - CFS Historical'!N35</f>
        <v>-13638</v>
      </c>
      <c r="O19" s="577">
        <f>'Q - CFS Historical'!O35</f>
        <v>-11504</v>
      </c>
      <c r="P19" s="577">
        <f>'Q - CFS Historical'!P35</f>
        <v>-5499</v>
      </c>
      <c r="R19" s="577">
        <f>'Q - CFS Historical'!R35</f>
        <v>0</v>
      </c>
    </row>
    <row r="20" spans="2:18" ht="15" customHeight="1">
      <c r="B20" s="573" t="s">
        <v>413</v>
      </c>
      <c r="C20" s="577">
        <f>'Q - CFS Historical'!C34</f>
        <v>-1989</v>
      </c>
      <c r="D20" s="577">
        <f>'Q - CFS Historical'!D34</f>
        <v>-2736</v>
      </c>
      <c r="E20" s="577">
        <f>'Q - CFS Historical'!E34</f>
        <v>-2432</v>
      </c>
      <c r="F20" s="577">
        <f>'Q - CFS Historical'!F34</f>
        <v>-2680</v>
      </c>
      <c r="H20" s="577">
        <f>'Q - CFS Historical'!H34</f>
        <v>-2929</v>
      </c>
      <c r="I20" s="577">
        <f>'Q - CFS Historical'!I34</f>
        <v>-3209</v>
      </c>
      <c r="J20" s="577">
        <f>'Q - CFS Historical'!J34</f>
        <v>-3003</v>
      </c>
      <c r="K20" s="577">
        <f>'Q - CFS Historical'!K34</f>
        <v>-3049</v>
      </c>
      <c r="M20" s="577">
        <f>'Q - CFS Historical'!M34</f>
        <v>-3110</v>
      </c>
      <c r="N20" s="577">
        <f>'Q - CFS Historical'!N34</f>
        <v>-2621</v>
      </c>
      <c r="O20" s="577">
        <f>'Q - CFS Historical'!O34</f>
        <v>-3270</v>
      </c>
      <c r="P20" s="577">
        <f>'Q - CFS Historical'!P34</f>
        <v>-5166</v>
      </c>
      <c r="R20" s="577">
        <f>'Q - CFS Historical'!R34</f>
        <v>-5483</v>
      </c>
    </row>
    <row r="22" spans="2:18" ht="15" customHeight="1">
      <c r="B22" s="573" t="s">
        <v>221</v>
      </c>
      <c r="C22" s="577">
        <f>'Q - CFS Historical'!C41</f>
        <v>50</v>
      </c>
      <c r="D22" s="577">
        <f>'Q - CFS Historical'!D41</f>
        <v>-26</v>
      </c>
      <c r="E22" s="577">
        <f>'Q - CFS Historical'!E41</f>
        <v>-351</v>
      </c>
      <c r="F22" s="577">
        <f>'Q - CFS Historical'!F41</f>
        <v>-94</v>
      </c>
      <c r="H22" s="577">
        <f>'Q - CFS Historical'!H41</f>
        <v>-125</v>
      </c>
      <c r="I22" s="577">
        <f>'Q - CFS Historical'!I41</f>
        <v>-238</v>
      </c>
      <c r="J22" s="577">
        <f>'Q - CFS Historical'!J41</f>
        <v>141</v>
      </c>
      <c r="K22" s="577">
        <f>'Q - CFS Historical'!K41</f>
        <v>-390</v>
      </c>
      <c r="M22" s="577">
        <f>'Q - CFS Historical'!M41</f>
        <v>43</v>
      </c>
      <c r="N22" s="577">
        <f>'Q - CFS Historical'!N41</f>
        <v>401</v>
      </c>
      <c r="O22" s="577">
        <f>'Q - CFS Historical'!O41</f>
        <v>-200</v>
      </c>
      <c r="P22" s="577">
        <f>'Q - CFS Historical'!P41</f>
        <v>-36</v>
      </c>
      <c r="R22" s="577">
        <f>'Q - CFS Historical'!R41</f>
        <v>-123</v>
      </c>
    </row>
    <row r="24" spans="2:18" ht="15" customHeight="1">
      <c r="B24" s="574" t="s">
        <v>204</v>
      </c>
      <c r="C24" s="237">
        <f>C5+C11+C15+C22</f>
        <v>6495</v>
      </c>
      <c r="D24" s="237">
        <f>D5+D11+D15+D22</f>
        <v>13365</v>
      </c>
      <c r="E24" s="237">
        <f>E5+E11+E15+E22</f>
        <v>11372</v>
      </c>
      <c r="F24" s="237">
        <f>F5+F11+F15+F22</f>
        <v>-7192</v>
      </c>
      <c r="H24" s="237">
        <f>H5+H11+H15+H22</f>
        <v>1033</v>
      </c>
      <c r="I24" s="237">
        <f>I5+I11+I15+I22</f>
        <v>2051</v>
      </c>
      <c r="J24" s="237">
        <f>J5+J11+J15+J22</f>
        <v>4556</v>
      </c>
      <c r="K24" s="237">
        <f>K5+K11+K15+K22</f>
        <v>9517</v>
      </c>
      <c r="M24" s="237">
        <f>M5+M11+M15+M22</f>
        <v>2678</v>
      </c>
      <c r="N24" s="237">
        <f>N5+N11+N15+N22</f>
        <v>7942</v>
      </c>
      <c r="O24" s="237">
        <f>O5+O11+O15+O22</f>
        <v>6089</v>
      </c>
      <c r="P24" s="237">
        <f>P5+P11+P15+P22</f>
        <v>33092</v>
      </c>
      <c r="R24" s="237">
        <f>R5+R11+R15+R22</f>
        <v>30675</v>
      </c>
    </row>
    <row r="25" spans="2:18" ht="15" customHeight="1">
      <c r="B25" s="573" t="s">
        <v>205</v>
      </c>
      <c r="C25" s="577">
        <f>BS!F10</f>
        <v>113762</v>
      </c>
      <c r="D25" s="575">
        <f>C26</f>
        <v>120257</v>
      </c>
      <c r="E25" s="575">
        <f>D26</f>
        <v>133622</v>
      </c>
      <c r="F25" s="575">
        <f>E26</f>
        <v>144994</v>
      </c>
      <c r="H25" s="575">
        <f>F26</f>
        <v>137802</v>
      </c>
      <c r="I25" s="575">
        <f>H26</f>
        <v>138835</v>
      </c>
      <c r="J25" s="575">
        <f>I26</f>
        <v>140886</v>
      </c>
      <c r="K25" s="575">
        <f>J26</f>
        <v>145442</v>
      </c>
      <c r="M25" s="575">
        <f>K26</f>
        <v>154959</v>
      </c>
      <c r="N25" s="575">
        <f>M26</f>
        <v>157637</v>
      </c>
      <c r="O25" s="575">
        <f>N26</f>
        <v>165579</v>
      </c>
      <c r="P25" s="575">
        <f>O26</f>
        <v>171668</v>
      </c>
      <c r="R25" s="575">
        <f>P26</f>
        <v>204760</v>
      </c>
    </row>
    <row r="26" spans="2:18" ht="15" customHeight="1">
      <c r="B26" s="574" t="s">
        <v>206</v>
      </c>
      <c r="C26" s="237">
        <f>C25+C24</f>
        <v>120257</v>
      </c>
      <c r="D26" s="237">
        <f>D25+D24</f>
        <v>133622</v>
      </c>
      <c r="E26" s="237">
        <f>E25+E24</f>
        <v>144994</v>
      </c>
      <c r="F26" s="237">
        <f>F25+F24</f>
        <v>137802</v>
      </c>
      <c r="H26" s="237">
        <f>H25+H24</f>
        <v>138835</v>
      </c>
      <c r="I26" s="237">
        <f>I25+I24</f>
        <v>140886</v>
      </c>
      <c r="J26" s="237">
        <f>J25+J24</f>
        <v>145442</v>
      </c>
      <c r="K26" s="237">
        <f>K25+K24</f>
        <v>154959</v>
      </c>
      <c r="M26" s="237">
        <f>M25+M24</f>
        <v>157637</v>
      </c>
      <c r="N26" s="237">
        <f>N25+N24</f>
        <v>165579</v>
      </c>
      <c r="O26" s="237">
        <f>O25+O24</f>
        <v>171668</v>
      </c>
      <c r="P26" s="237">
        <f>P25+P24</f>
        <v>204760</v>
      </c>
      <c r="R26" s="237">
        <f>R25+R24</f>
        <v>235435</v>
      </c>
    </row>
    <row r="28" spans="2:18" ht="15" customHeight="1">
      <c r="B28" s="573" t="s">
        <v>414</v>
      </c>
      <c r="C28" s="579">
        <f>'Q - BS'!C9-C26</f>
        <v>-5155</v>
      </c>
      <c r="D28" s="579">
        <f>'Q - BS'!D9-D26</f>
        <v>-15290</v>
      </c>
      <c r="E28" s="579">
        <f>'Q - BS'!E9-E26</f>
        <v>-25059</v>
      </c>
      <c r="F28" s="579">
        <f>'Q - BS'!F9-F26</f>
        <v>-26886</v>
      </c>
      <c r="H28" s="579">
        <f>'Q - BS'!G9-H26</f>
        <v>-30745</v>
      </c>
      <c r="I28" s="579">
        <f>'Q - BS'!H9-I26</f>
        <v>-40161</v>
      </c>
      <c r="J28" s="579">
        <f>'Q - BS'!I9-J26</f>
        <v>-52212</v>
      </c>
      <c r="K28" s="579">
        <f>'Q - BS'!J9-K26</f>
        <v>-59302</v>
      </c>
      <c r="M28" s="579">
        <f>'Q - BS'!K9-M26</f>
        <v>-62309</v>
      </c>
      <c r="N28" s="579">
        <f>'Q - BS'!L9-N26</f>
        <v>-70431</v>
      </c>
      <c r="O28" s="579">
        <f>'Q - BS'!M9-O26</f>
        <v>-73172</v>
      </c>
      <c r="P28" s="579">
        <f>'Q - BS'!N9-P26</f>
        <v>-77917</v>
      </c>
      <c r="R28" s="579">
        <f>'Q - BS'!O9-R26</f>
        <v>-108595</v>
      </c>
    </row>
  </sheetData>
  <mergeCells count="3">
    <mergeCell ref="C2:G2"/>
    <mergeCell ref="H2:L2"/>
    <mergeCell ref="M2:Q2"/>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1133"/>
  </sheetPr>
  <dimension ref="A1:AA20"/>
  <sheetViews>
    <sheetView showGridLines="0" zoomScale="84" zoomScaleNormal="84" zoomScalePageLayoutView="85" workbookViewId="0">
      <pane xSplit="1" ySplit="3" topLeftCell="P4" activePane="bottomRight" state="frozen"/>
      <selection pane="bottomRight" activeCell="R7" sqref="R7"/>
      <selection pane="bottomLeft" activeCell="A4" sqref="A4"/>
      <selection pane="topRight" activeCell="P1" sqref="P1"/>
    </sheetView>
  </sheetViews>
  <sheetFormatPr defaultColWidth="8" defaultRowHeight="12.75" outlineLevelCol="1"/>
  <cols>
    <col min="1" max="1" width="36" style="4" customWidth="1"/>
    <col min="2" max="3" width="8.5" style="5" hidden="1" customWidth="1" outlineLevel="1"/>
    <col min="4" max="4" width="8.5" style="6" hidden="1" customWidth="1" outlineLevel="1"/>
    <col min="5" max="5" width="8.5" style="7" hidden="1" customWidth="1" outlineLevel="1"/>
    <col min="6" max="6" width="8.125" style="7" hidden="1" customWidth="1" outlineLevel="1"/>
    <col min="7" max="8" width="8.5" style="7" hidden="1" customWidth="1" outlineLevel="1"/>
    <col min="9" max="14" width="8" style="8" hidden="1" outlineLevel="1"/>
    <col min="15" max="15" width="8" style="8" hidden="1"/>
    <col min="16" max="16384" width="8" style="8"/>
  </cols>
  <sheetData>
    <row r="1" spans="1:27" ht="66" customHeight="1">
      <c r="A1" s="9"/>
      <c r="B1" s="10">
        <f t="shared" ref="B1:O1" si="0">DATE(LEFT(B2,4),12,1)</f>
        <v>39052</v>
      </c>
      <c r="C1" s="10">
        <f t="shared" si="0"/>
        <v>39417</v>
      </c>
      <c r="D1" s="10">
        <f t="shared" si="0"/>
        <v>39783</v>
      </c>
      <c r="E1" s="10">
        <f t="shared" si="0"/>
        <v>40148</v>
      </c>
      <c r="F1" s="10">
        <f t="shared" si="0"/>
        <v>40513</v>
      </c>
      <c r="G1" s="10">
        <f t="shared" si="0"/>
        <v>40878</v>
      </c>
      <c r="H1" s="10">
        <f t="shared" si="0"/>
        <v>41244</v>
      </c>
      <c r="I1" s="10">
        <f t="shared" si="0"/>
        <v>41609</v>
      </c>
      <c r="J1" s="10">
        <f t="shared" si="0"/>
        <v>41974</v>
      </c>
      <c r="K1" s="10">
        <f t="shared" si="0"/>
        <v>42339</v>
      </c>
      <c r="L1" s="10">
        <f t="shared" si="0"/>
        <v>42705</v>
      </c>
      <c r="M1" s="10">
        <f t="shared" si="0"/>
        <v>43070</v>
      </c>
      <c r="N1" s="10">
        <f t="shared" si="0"/>
        <v>43435</v>
      </c>
      <c r="O1" s="10">
        <f t="shared" si="0"/>
        <v>43800</v>
      </c>
      <c r="P1" s="10"/>
      <c r="Q1" s="10"/>
      <c r="R1" s="10"/>
      <c r="S1" s="10"/>
      <c r="T1" s="10"/>
      <c r="U1" s="10"/>
      <c r="V1" s="10"/>
      <c r="W1" s="10"/>
    </row>
    <row r="2" spans="1:27" ht="7.5" customHeight="1">
      <c r="A2" s="762"/>
      <c r="B2" s="767">
        <v>2006</v>
      </c>
      <c r="C2" s="767">
        <v>2007</v>
      </c>
      <c r="D2" s="766">
        <v>2008</v>
      </c>
      <c r="E2" s="766">
        <v>2009</v>
      </c>
      <c r="F2" s="766">
        <v>2010</v>
      </c>
      <c r="G2" s="766">
        <v>2011</v>
      </c>
      <c r="H2" s="766">
        <v>2012</v>
      </c>
      <c r="I2" s="766">
        <v>2013</v>
      </c>
      <c r="J2" s="766">
        <v>2014</v>
      </c>
      <c r="K2" s="766">
        <v>2015</v>
      </c>
      <c r="L2" s="766">
        <v>2016</v>
      </c>
      <c r="M2" s="766">
        <v>2017</v>
      </c>
      <c r="N2" s="766">
        <v>2018</v>
      </c>
      <c r="O2" s="766">
        <v>2019</v>
      </c>
      <c r="P2" s="765">
        <v>2020</v>
      </c>
      <c r="Q2" s="765">
        <v>2021</v>
      </c>
      <c r="R2" s="765">
        <v>2022</v>
      </c>
      <c r="S2" s="765">
        <v>2023</v>
      </c>
      <c r="T2" s="765">
        <v>2024</v>
      </c>
      <c r="U2" s="765">
        <v>2025</v>
      </c>
      <c r="V2" s="761" t="s">
        <v>415</v>
      </c>
      <c r="W2" s="761" t="s">
        <v>416</v>
      </c>
      <c r="X2" s="761" t="s">
        <v>417</v>
      </c>
      <c r="Y2" s="761" t="s">
        <v>418</v>
      </c>
      <c r="Z2" s="761" t="s">
        <v>419</v>
      </c>
      <c r="AA2" s="763"/>
    </row>
    <row r="3" spans="1:27" ht="12.75" customHeight="1">
      <c r="A3" s="762"/>
      <c r="B3" s="762"/>
      <c r="C3" s="762"/>
      <c r="D3" s="762"/>
      <c r="E3" s="762"/>
      <c r="F3" s="762"/>
      <c r="G3" s="762"/>
      <c r="H3" s="762"/>
      <c r="I3" s="762"/>
      <c r="J3" s="762"/>
      <c r="K3" s="762"/>
      <c r="L3" s="762"/>
      <c r="M3" s="762"/>
      <c r="N3" s="762"/>
      <c r="O3" s="762"/>
      <c r="P3" s="762"/>
      <c r="Q3" s="762"/>
      <c r="R3" s="762"/>
      <c r="S3" s="762"/>
      <c r="T3" s="762"/>
      <c r="U3" s="762"/>
      <c r="V3" s="762"/>
      <c r="W3" s="762"/>
      <c r="X3" s="762"/>
      <c r="Y3" s="762"/>
      <c r="Z3" s="762"/>
      <c r="AA3" s="762"/>
    </row>
    <row r="4" spans="1:27" ht="7.5" customHeight="1">
      <c r="A4" s="11"/>
      <c r="B4" s="12"/>
      <c r="C4" s="12"/>
      <c r="D4" s="13"/>
      <c r="E4" s="13"/>
      <c r="F4" s="13"/>
      <c r="G4" s="13"/>
      <c r="H4" s="13"/>
      <c r="I4" s="13"/>
      <c r="J4" s="13"/>
      <c r="K4" s="13"/>
      <c r="V4" s="14"/>
      <c r="W4" s="14"/>
      <c r="X4" s="14"/>
      <c r="Y4" s="14"/>
      <c r="Z4" s="14"/>
    </row>
    <row r="5" spans="1:27" ht="12.75" customHeight="1">
      <c r="A5" s="15" t="s">
        <v>420</v>
      </c>
      <c r="B5" s="16"/>
      <c r="C5" s="16"/>
      <c r="D5" s="16"/>
      <c r="E5" s="17"/>
      <c r="F5" s="17"/>
      <c r="G5" s="18"/>
      <c r="H5" s="18"/>
      <c r="I5" s="19"/>
      <c r="J5" s="19"/>
      <c r="K5" s="20"/>
      <c r="L5" s="19"/>
      <c r="M5" s="19"/>
      <c r="N5" s="19"/>
      <c r="O5" s="19"/>
      <c r="P5" s="18"/>
      <c r="Q5" s="18"/>
      <c r="R5" s="18"/>
      <c r="S5" s="18"/>
      <c r="T5" s="18"/>
      <c r="U5" s="18"/>
      <c r="V5" s="21"/>
      <c r="W5" s="21"/>
      <c r="X5" s="21"/>
      <c r="Y5" s="21"/>
      <c r="Z5" s="21"/>
    </row>
    <row r="6" spans="1:27" ht="12.75" customHeight="1">
      <c r="A6" s="22" t="s">
        <v>421</v>
      </c>
      <c r="B6" s="23">
        <v>5.25</v>
      </c>
      <c r="C6" s="23">
        <v>4.3213999999999997</v>
      </c>
      <c r="D6" s="23">
        <v>0.54349999999999998</v>
      </c>
      <c r="E6" s="23">
        <v>0.125</v>
      </c>
      <c r="F6" s="23">
        <v>0.125</v>
      </c>
      <c r="G6" s="23">
        <v>0.125</v>
      </c>
      <c r="H6" s="23">
        <v>0.125</v>
      </c>
      <c r="I6" s="23">
        <v>0.125</v>
      </c>
      <c r="J6" s="23">
        <v>0.125</v>
      </c>
      <c r="K6" s="23">
        <v>0.24460000000000001</v>
      </c>
      <c r="L6" s="23">
        <v>0.51139999999999997</v>
      </c>
      <c r="M6" s="23">
        <v>1.2679</v>
      </c>
      <c r="N6" s="23">
        <v>2.2202000000000002</v>
      </c>
      <c r="O6" s="24">
        <v>1.625</v>
      </c>
      <c r="P6" s="25">
        <v>0.125</v>
      </c>
      <c r="Q6" s="25">
        <v>0.125</v>
      </c>
      <c r="R6" s="25">
        <v>4.1477000000000004</v>
      </c>
      <c r="S6" s="25">
        <v>5.375</v>
      </c>
      <c r="T6" s="25">
        <v>4.5227000000000004</v>
      </c>
      <c r="U6" s="26">
        <v>3.625</v>
      </c>
      <c r="V6" s="27">
        <v>4.125</v>
      </c>
      <c r="W6" s="27">
        <v>4.125</v>
      </c>
      <c r="X6" s="28">
        <v>4.125</v>
      </c>
      <c r="Y6" s="28">
        <v>4.125</v>
      </c>
      <c r="Z6" s="28">
        <v>4.125</v>
      </c>
    </row>
    <row r="7" spans="1:27" ht="12.75" customHeight="1">
      <c r="A7" s="22" t="s">
        <v>422</v>
      </c>
      <c r="B7" s="23">
        <v>4.6334857142857198</v>
      </c>
      <c r="C7" s="23">
        <v>4.3463904761904804</v>
      </c>
      <c r="D7" s="23">
        <v>2.9845956521739101</v>
      </c>
      <c r="E7" s="23">
        <v>3.8837391304347801</v>
      </c>
      <c r="F7" s="23">
        <v>3.3985478260869599</v>
      </c>
      <c r="G7" s="23">
        <v>2.11336818181818</v>
      </c>
      <c r="H7" s="23">
        <v>1.7841904761904801</v>
      </c>
      <c r="I7" s="23">
        <v>3.0071818181818202</v>
      </c>
      <c r="J7" s="23">
        <v>2.4077782608695699</v>
      </c>
      <c r="K7" s="23">
        <v>2.46572173913043</v>
      </c>
      <c r="L7" s="23">
        <v>2.4900000000000002</v>
      </c>
      <c r="M7" s="23">
        <v>2.4</v>
      </c>
      <c r="N7" s="23">
        <v>2.83</v>
      </c>
      <c r="O7" s="23">
        <v>2.0035000000000101</v>
      </c>
      <c r="P7" s="29">
        <v>0.93</v>
      </c>
      <c r="Q7" s="29">
        <v>1.47</v>
      </c>
      <c r="R7" s="29">
        <v>3.88</v>
      </c>
      <c r="S7" s="29">
        <v>3.88</v>
      </c>
      <c r="T7" s="29">
        <v>4.58</v>
      </c>
      <c r="U7" s="26">
        <v>4.18</v>
      </c>
      <c r="V7" s="27">
        <v>4.4987500000000002</v>
      </c>
      <c r="W7" s="27">
        <v>4.4987500000000002</v>
      </c>
      <c r="X7" s="28">
        <v>4.4987500000000002</v>
      </c>
      <c r="Y7" s="28">
        <v>4.4987500000000002</v>
      </c>
      <c r="Z7" s="28">
        <v>4.4987500000000002</v>
      </c>
    </row>
    <row r="8" spans="1:27" ht="12.75" customHeight="1">
      <c r="A8" s="30"/>
      <c r="B8" s="24"/>
      <c r="C8" s="24"/>
      <c r="D8" s="24"/>
      <c r="E8" s="24"/>
      <c r="F8" s="24"/>
      <c r="G8" s="24"/>
      <c r="H8" s="24"/>
      <c r="I8" s="24"/>
      <c r="J8" s="24"/>
      <c r="K8" s="24"/>
      <c r="L8" s="24"/>
      <c r="M8" s="24"/>
      <c r="N8" s="24"/>
      <c r="O8" s="24"/>
      <c r="P8" s="24"/>
      <c r="Q8" s="24"/>
      <c r="R8" s="24"/>
      <c r="S8" s="24"/>
      <c r="T8" s="24"/>
      <c r="U8" s="31"/>
      <c r="V8" s="32"/>
      <c r="W8" s="32"/>
    </row>
    <row r="9" spans="1:27" ht="12.75" customHeight="1">
      <c r="A9" s="30"/>
      <c r="B9" s="23"/>
      <c r="C9" s="23"/>
      <c r="D9" s="23"/>
      <c r="E9" s="23"/>
      <c r="F9" s="23"/>
      <c r="G9" s="23"/>
      <c r="H9" s="23"/>
      <c r="I9" s="23"/>
      <c r="J9" s="23"/>
      <c r="K9" s="23"/>
      <c r="L9" s="23"/>
      <c r="M9" s="23"/>
      <c r="N9" s="23"/>
      <c r="O9" s="24"/>
      <c r="P9" s="24"/>
      <c r="Q9" s="24"/>
      <c r="R9" s="24"/>
      <c r="S9" s="24"/>
      <c r="T9" s="24"/>
      <c r="U9" s="31"/>
      <c r="V9" s="32"/>
      <c r="W9" s="32"/>
    </row>
    <row r="10" spans="1:27" ht="12.75" customHeight="1">
      <c r="A10" s="30"/>
      <c r="B10" s="23"/>
      <c r="C10" s="23"/>
      <c r="D10" s="23"/>
      <c r="E10" s="23"/>
      <c r="F10" s="23"/>
      <c r="G10" s="23"/>
      <c r="H10" s="23"/>
      <c r="I10" s="23"/>
      <c r="J10" s="23"/>
      <c r="K10" s="23"/>
      <c r="L10" s="23"/>
      <c r="M10" s="23"/>
      <c r="N10" s="23"/>
      <c r="O10" s="23"/>
      <c r="P10" s="23"/>
      <c r="Q10" s="23"/>
      <c r="R10" s="23"/>
      <c r="S10" s="23"/>
      <c r="T10" s="23"/>
      <c r="U10" s="33"/>
      <c r="V10" s="34"/>
      <c r="W10" s="34"/>
    </row>
    <row r="11" spans="1:27" ht="12.75" customHeight="1">
      <c r="A11" s="35"/>
      <c r="B11" s="36"/>
      <c r="C11" s="37"/>
      <c r="D11" s="37"/>
      <c r="E11" s="38"/>
      <c r="F11" s="38"/>
      <c r="G11" s="39"/>
      <c r="H11" s="39"/>
      <c r="I11" s="40"/>
      <c r="J11" s="40"/>
      <c r="K11" s="41"/>
      <c r="L11" s="40"/>
      <c r="M11" s="40"/>
      <c r="N11" s="40"/>
      <c r="O11" s="40"/>
      <c r="P11" s="39"/>
      <c r="Q11" s="39"/>
      <c r="R11" s="39"/>
      <c r="S11" s="39"/>
      <c r="T11" s="39"/>
      <c r="U11" s="39"/>
      <c r="V11" s="39"/>
      <c r="W11" s="39"/>
    </row>
    <row r="12" spans="1:27" ht="12.75" customHeight="1">
      <c r="A12" s="42"/>
      <c r="B12" s="30"/>
      <c r="C12" s="43"/>
      <c r="D12" s="43"/>
      <c r="E12" s="43"/>
      <c r="F12" s="43"/>
      <c r="G12" s="23"/>
      <c r="H12" s="23"/>
      <c r="I12" s="33"/>
      <c r="J12" s="33"/>
      <c r="K12" s="44"/>
      <c r="L12" s="45"/>
      <c r="M12" s="33"/>
      <c r="N12" s="33"/>
      <c r="O12" s="33"/>
      <c r="P12" s="33"/>
      <c r="Q12" s="33"/>
      <c r="R12" s="44"/>
      <c r="S12" s="44"/>
      <c r="T12" s="44"/>
      <c r="U12" s="44"/>
      <c r="V12" s="34"/>
      <c r="W12" s="34"/>
    </row>
    <row r="13" spans="1:27" ht="12.75" customHeight="1">
      <c r="A13" s="42"/>
      <c r="B13" s="30"/>
      <c r="C13" s="43"/>
      <c r="D13" s="43"/>
      <c r="E13" s="43"/>
      <c r="F13" s="43"/>
      <c r="G13" s="23"/>
      <c r="H13" s="23"/>
      <c r="I13" s="33"/>
      <c r="J13" s="33"/>
      <c r="K13" s="44"/>
      <c r="L13" s="45"/>
      <c r="M13" s="33"/>
      <c r="N13" s="33"/>
      <c r="O13" s="33"/>
      <c r="P13" s="33"/>
      <c r="Q13" s="33"/>
      <c r="R13" s="44"/>
      <c r="S13" s="44"/>
      <c r="T13" s="44"/>
      <c r="U13" s="44"/>
      <c r="V13" s="34"/>
      <c r="W13" s="34"/>
    </row>
    <row r="14" spans="1:27" ht="12.75" customHeight="1">
      <c r="A14" s="42"/>
      <c r="B14" s="30"/>
      <c r="C14" s="43"/>
      <c r="D14" s="43"/>
      <c r="E14" s="43"/>
      <c r="F14" s="43"/>
      <c r="G14" s="23"/>
      <c r="H14" s="23"/>
      <c r="I14" s="33"/>
      <c r="J14" s="33"/>
      <c r="K14" s="44"/>
      <c r="L14" s="45"/>
      <c r="M14" s="33"/>
      <c r="N14" s="33"/>
      <c r="O14" s="33"/>
      <c r="P14" s="33"/>
      <c r="Q14" s="33"/>
      <c r="R14" s="44"/>
      <c r="S14" s="44"/>
      <c r="T14" s="44"/>
      <c r="U14" s="44"/>
      <c r="V14" s="34"/>
      <c r="W14" s="34"/>
    </row>
    <row r="15" spans="1:27" ht="12.75" customHeight="1">
      <c r="A15" s="42"/>
      <c r="B15" s="30"/>
      <c r="C15" s="43"/>
      <c r="D15" s="43"/>
      <c r="E15" s="43"/>
      <c r="F15" s="43"/>
      <c r="G15" s="23"/>
      <c r="H15" s="23"/>
      <c r="I15" s="33"/>
      <c r="J15" s="33"/>
      <c r="K15" s="44"/>
      <c r="L15" s="45"/>
      <c r="M15" s="33"/>
      <c r="N15" s="33"/>
      <c r="O15" s="33"/>
      <c r="P15" s="33"/>
      <c r="Q15" s="33"/>
      <c r="R15" s="44"/>
      <c r="S15" s="44"/>
      <c r="T15" s="44"/>
      <c r="U15" s="44"/>
      <c r="V15" s="34"/>
      <c r="W15" s="34"/>
    </row>
    <row r="16" spans="1:27" ht="12.75" customHeight="1">
      <c r="A16" s="42"/>
      <c r="B16" s="30"/>
      <c r="C16" s="43"/>
      <c r="D16" s="43"/>
      <c r="E16" s="43"/>
      <c r="F16" s="43"/>
      <c r="G16" s="23"/>
      <c r="H16" s="23"/>
      <c r="I16" s="33"/>
      <c r="J16" s="33"/>
      <c r="K16" s="44"/>
      <c r="L16" s="45"/>
      <c r="M16" s="33"/>
      <c r="N16" s="33"/>
      <c r="O16" s="33"/>
      <c r="P16" s="33"/>
      <c r="Q16" s="33"/>
      <c r="R16" s="44"/>
      <c r="S16" s="44"/>
      <c r="T16" s="44"/>
      <c r="U16" s="44"/>
      <c r="V16" s="34"/>
      <c r="W16" s="34"/>
    </row>
    <row r="17" spans="1:23" ht="12.75" customHeight="1">
      <c r="A17" s="42"/>
      <c r="B17" s="30"/>
      <c r="C17" s="43"/>
      <c r="D17" s="43"/>
      <c r="E17" s="43"/>
      <c r="F17" s="43"/>
      <c r="G17" s="23"/>
      <c r="H17" s="23"/>
      <c r="I17" s="33"/>
      <c r="J17" s="33"/>
      <c r="K17" s="44"/>
      <c r="L17" s="45"/>
      <c r="M17" s="33"/>
      <c r="N17" s="33"/>
      <c r="O17" s="33"/>
      <c r="P17" s="33"/>
      <c r="Q17" s="33"/>
      <c r="R17" s="44"/>
      <c r="S17" s="44"/>
      <c r="T17" s="44"/>
      <c r="U17" s="44"/>
      <c r="V17" s="34"/>
      <c r="W17" s="34"/>
    </row>
    <row r="18" spans="1:23" ht="12.75" customHeight="1">
      <c r="A18" s="42"/>
      <c r="B18" s="30"/>
      <c r="C18" s="43"/>
      <c r="D18" s="43"/>
      <c r="E18" s="43"/>
      <c r="F18" s="43"/>
      <c r="G18" s="23"/>
      <c r="H18" s="23"/>
      <c r="I18" s="33"/>
      <c r="J18" s="33"/>
      <c r="K18" s="44"/>
      <c r="L18" s="45"/>
      <c r="M18" s="33"/>
      <c r="N18" s="33"/>
      <c r="O18" s="33"/>
      <c r="P18" s="33"/>
      <c r="Q18" s="33"/>
      <c r="R18" s="44"/>
      <c r="S18" s="44"/>
      <c r="T18" s="44"/>
      <c r="U18" s="44"/>
      <c r="V18" s="34"/>
      <c r="W18" s="34"/>
    </row>
    <row r="19" spans="1:23" ht="12.75" customHeight="1">
      <c r="A19" s="764"/>
      <c r="B19" s="764"/>
      <c r="C19" s="764"/>
      <c r="D19" s="764"/>
      <c r="E19" s="764"/>
      <c r="F19" s="764"/>
      <c r="G19" s="764"/>
      <c r="H19" s="764"/>
    </row>
    <row r="20" spans="1:23" ht="11.25" customHeight="1">
      <c r="A20" s="46"/>
      <c r="B20" s="47"/>
      <c r="C20" s="47"/>
      <c r="D20" s="47"/>
      <c r="E20" s="47"/>
      <c r="F20" s="47"/>
      <c r="G20" s="47"/>
      <c r="H20" s="47"/>
      <c r="I20" s="48"/>
      <c r="J20" s="48"/>
      <c r="K20" s="48"/>
      <c r="L20" s="48"/>
      <c r="M20" s="48"/>
      <c r="N20" s="48"/>
      <c r="O20" s="48"/>
      <c r="P20" s="48"/>
      <c r="Q20" s="48"/>
    </row>
  </sheetData>
  <mergeCells count="28">
    <mergeCell ref="A2:A3"/>
    <mergeCell ref="B2:B3"/>
    <mergeCell ref="C2:C3"/>
    <mergeCell ref="D2:D3"/>
    <mergeCell ref="E2:E3"/>
    <mergeCell ref="N2:N3"/>
    <mergeCell ref="O2:O3"/>
    <mergeCell ref="F2:F3"/>
    <mergeCell ref="G2:G3"/>
    <mergeCell ref="H2:H3"/>
    <mergeCell ref="I2:I3"/>
    <mergeCell ref="J2:J3"/>
    <mergeCell ref="Z2:Z3"/>
    <mergeCell ref="AA2:AA3"/>
    <mergeCell ref="A19:H19"/>
    <mergeCell ref="U2:U3"/>
    <mergeCell ref="V2:V3"/>
    <mergeCell ref="W2:W3"/>
    <mergeCell ref="X2:X3"/>
    <mergeCell ref="Y2:Y3"/>
    <mergeCell ref="P2:P3"/>
    <mergeCell ref="Q2:Q3"/>
    <mergeCell ref="R2:R3"/>
    <mergeCell ref="S2:S3"/>
    <mergeCell ref="T2:T3"/>
    <mergeCell ref="K2:K3"/>
    <mergeCell ref="L2:L3"/>
    <mergeCell ref="M2:M3"/>
  </mergeCells>
  <printOptions horizontalCentered="1"/>
  <pageMargins left="1.2993055555555599" right="0.70833333333333304" top="0.74791666666666701" bottom="0.74791666666666701" header="0.511811023622047" footer="0.31527777777777799"/>
  <pageSetup paperSize="9" scale="90" orientation="landscape" horizontalDpi="300" verticalDpi="300"/>
  <headerFooter>
    <oddFooter>&amp;L&amp;"Calibri,Regular"&amp;9 #Corporativo | Interno</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Procopio</dc:creator>
  <cp:keywords/>
  <dc:description/>
  <cp:lastModifiedBy>Gabriel De Lima Porto</cp:lastModifiedBy>
  <cp:revision>0</cp:revision>
  <dcterms:created xsi:type="dcterms:W3CDTF">2026-02-06T20:42:03Z</dcterms:created>
  <dcterms:modified xsi:type="dcterms:W3CDTF">2026-08-14T03:02:02Z</dcterms:modified>
  <cp:category/>
  <cp:contentStatus/>
</cp:coreProperties>
</file>